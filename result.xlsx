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git\Vulnerable\"/>
    </mc:Choice>
  </mc:AlternateContent>
  <bookViews>
    <workbookView xWindow="0" yWindow="0" windowWidth="23016" windowHeight="9084"/>
  </bookViews>
  <sheets>
    <sheet name="졸업생분석" sheetId="1" r:id="rId1"/>
    <sheet name="취업률분석" sheetId="2" r:id="rId2"/>
    <sheet name="건보가입자분석" sheetId="3" r:id="rId3"/>
    <sheet name="유지취업자분석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W5" i="1"/>
  <c r="W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3" i="1"/>
</calcChain>
</file>

<file path=xl/sharedStrings.xml><?xml version="1.0" encoding="utf-8"?>
<sst xmlns="http://schemas.openxmlformats.org/spreadsheetml/2006/main" count="859" uniqueCount="204">
  <si>
    <t>장애인코드</t>
  </si>
  <si>
    <t>비장애인</t>
    <phoneticPr fontId="2" type="noConversion"/>
  </si>
  <si>
    <t>장애인</t>
    <phoneticPr fontId="2" type="noConversion"/>
  </si>
  <si>
    <t>전체건수</t>
    <phoneticPr fontId="2" type="noConversion"/>
  </si>
  <si>
    <t>비율</t>
    <phoneticPr fontId="2" type="noConversion"/>
  </si>
  <si>
    <t>학교지역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</si>
  <si>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</si>
  <si>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</si>
  <si>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</si>
  <si>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</si>
  <si>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</si>
  <si>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</si>
  <si>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</si>
  <si>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</si>
  <si>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</si>
  <si>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</si>
  <si>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</si>
  <si>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</si>
  <si>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</si>
  <si>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</si>
  <si>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</si>
  <si>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</si>
  <si>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</si>
  <si>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전체건수</t>
    <phoneticPr fontId="2" type="noConversion"/>
  </si>
  <si>
    <t>비율</t>
    <phoneticPr fontId="2" type="noConversion"/>
  </si>
  <si>
    <t>비장애인</t>
    <phoneticPr fontId="2" type="noConversion"/>
  </si>
  <si>
    <t>장애인</t>
    <phoneticPr fontId="2" type="noConversion"/>
  </si>
  <si>
    <t>국립</t>
  </si>
  <si>
    <t>공립</t>
  </si>
  <si>
    <t>사립</t>
  </si>
  <si>
    <t>학교졸업생규모</t>
  </si>
  <si>
    <t>500명미만</t>
  </si>
  <si>
    <t>500명이상-1000명미만</t>
  </si>
  <si>
    <t>1000명이상-1500명미만</t>
  </si>
  <si>
    <t>1500명이상-2000명미만</t>
  </si>
  <si>
    <t>2000명이상-2500명미만</t>
  </si>
  <si>
    <t>2500명이상-3000명미만</t>
  </si>
  <si>
    <t>3000명이상-3500명미만</t>
  </si>
  <si>
    <t>3500명이상-4000명미만</t>
  </si>
  <si>
    <t>4000명이상</t>
  </si>
  <si>
    <t>학과대분류</t>
  </si>
  <si>
    <t>인문계열</t>
  </si>
  <si>
    <t>사회계열</t>
  </si>
  <si>
    <t>교육계열</t>
  </si>
  <si>
    <t>자연계열</t>
  </si>
  <si>
    <t>공학계열</t>
  </si>
  <si>
    <t>의약계열</t>
  </si>
  <si>
    <t>예체능계열</t>
  </si>
  <si>
    <t>학과중분류</t>
  </si>
  <si>
    <t>간호</t>
  </si>
  <si>
    <t>건축</t>
  </si>
  <si>
    <t>경영ㆍ경제</t>
  </si>
  <si>
    <t>교육일반</t>
  </si>
  <si>
    <t>교통ㆍ운송</t>
  </si>
  <si>
    <t>기계ㆍ금속</t>
  </si>
  <si>
    <t>기타</t>
  </si>
  <si>
    <t>농림ㆍ수산</t>
  </si>
  <si>
    <t>디자인</t>
  </si>
  <si>
    <t>무용ㆍ체육</t>
  </si>
  <si>
    <t>미술ㆍ조형</t>
  </si>
  <si>
    <t>법률</t>
  </si>
  <si>
    <t>사회과학</t>
  </si>
  <si>
    <t>산업</t>
  </si>
  <si>
    <t>생물ㆍ화학ㆍ환경</t>
  </si>
  <si>
    <t>생활과학</t>
  </si>
  <si>
    <t>소재ㆍ재료</t>
  </si>
  <si>
    <t>수학ㆍ물리ㆍ천문ㆍ지리</t>
  </si>
  <si>
    <t>언어ㆍ문학</t>
  </si>
  <si>
    <t>연극ㆍ영화</t>
  </si>
  <si>
    <t>유아교육</t>
  </si>
  <si>
    <t>음악</t>
  </si>
  <si>
    <t>응용예술</t>
  </si>
  <si>
    <t>인문과학</t>
  </si>
  <si>
    <t>전기ㆍ전자</t>
  </si>
  <si>
    <t>정밀ㆍ에너지</t>
  </si>
  <si>
    <t>치료ㆍ보건</t>
  </si>
  <si>
    <t>컴퓨터ㆍ통신</t>
  </si>
  <si>
    <t>토목ㆍ도시</t>
  </si>
  <si>
    <t>특수교육</t>
  </si>
  <si>
    <t>화공</t>
  </si>
  <si>
    <t>학제</t>
  </si>
  <si>
    <t>전문대학</t>
  </si>
  <si>
    <t>교육대학</t>
  </si>
  <si>
    <t>대학</t>
  </si>
  <si>
    <t>일반대학원</t>
  </si>
  <si>
    <t>기능대학</t>
  </si>
  <si>
    <t>각종대학(대학)</t>
  </si>
  <si>
    <t>산업대학</t>
  </si>
  <si>
    <t>학제과정</t>
  </si>
  <si>
    <t>대학과정</t>
  </si>
  <si>
    <t>대학원과정</t>
  </si>
  <si>
    <t>전문대학과정</t>
  </si>
  <si>
    <t>전문대학과정</t>
    <phoneticPr fontId="2" type="noConversion"/>
  </si>
  <si>
    <t>미상</t>
  </si>
  <si>
    <t>거주지역</t>
    <phoneticPr fontId="2" type="noConversion"/>
  </si>
  <si>
    <t>대학_거주</t>
  </si>
  <si>
    <t>비일치</t>
    <phoneticPr fontId="2" type="noConversion"/>
  </si>
  <si>
    <t>일치</t>
    <phoneticPr fontId="2" type="noConversion"/>
  </si>
  <si>
    <t>거주지역</t>
    <phoneticPr fontId="2" type="noConversion"/>
  </si>
  <si>
    <t>거주 지역 대학 졸업자</t>
    <phoneticPr fontId="2" type="noConversion"/>
  </si>
  <si>
    <t>비 거주 지역 대학 졸업자</t>
    <phoneticPr fontId="2" type="noConversion"/>
  </si>
  <si>
    <t>비거주</t>
    <phoneticPr fontId="2" type="noConversion"/>
  </si>
  <si>
    <t>거주</t>
    <phoneticPr fontId="2" type="noConversion"/>
  </si>
  <si>
    <t>불일치</t>
    <phoneticPr fontId="2" type="noConversion"/>
  </si>
  <si>
    <t>일치</t>
    <phoneticPr fontId="2" type="noConversion"/>
  </si>
  <si>
    <t>고교지역</t>
    <phoneticPr fontId="2" type="noConversion"/>
  </si>
  <si>
    <t>유예</t>
  </si>
  <si>
    <t>비유예</t>
  </si>
  <si>
    <t>졸업평점</t>
  </si>
  <si>
    <t>60점미만</t>
  </si>
  <si>
    <t>60점이상-65점미만</t>
  </si>
  <si>
    <t>65점이상-70점미만</t>
  </si>
  <si>
    <t>70점이상-75점미만</t>
  </si>
  <si>
    <t>75점이상-80점미만</t>
  </si>
  <si>
    <t>80점이상-85점미만</t>
  </si>
  <si>
    <t>85점이상-90점미만</t>
  </si>
  <si>
    <t>90점이상-95점미만</t>
  </si>
  <si>
    <t>95점이상</t>
  </si>
  <si>
    <t>건보취업자수</t>
  </si>
  <si>
    <t>해외취업자수</t>
  </si>
  <si>
    <t>농림어업종사자수</t>
  </si>
  <si>
    <t>개인창작활동종사자수</t>
  </si>
  <si>
    <t>1인창사업자수</t>
  </si>
  <si>
    <t>프리랜서수</t>
  </si>
  <si>
    <t>졸업자수</t>
  </si>
  <si>
    <t>진학자수</t>
  </si>
  <si>
    <t>입대자수</t>
  </si>
  <si>
    <t>취업불가능자수</t>
  </si>
  <si>
    <t>제외인정자수</t>
  </si>
  <si>
    <t>취업률</t>
  </si>
  <si>
    <t>N</t>
  </si>
  <si>
    <t>Y</t>
  </si>
  <si>
    <t>장애인</t>
    <phoneticPr fontId="2" type="noConversion"/>
  </si>
  <si>
    <t>장애인</t>
    <phoneticPr fontId="2" type="noConversion"/>
  </si>
  <si>
    <t>비장애인</t>
    <phoneticPr fontId="2" type="noConversion"/>
  </si>
  <si>
    <t>설립구분</t>
  </si>
  <si>
    <t>거주지역</t>
  </si>
  <si>
    <t>일치</t>
    <phoneticPr fontId="2" type="noConversion"/>
  </si>
  <si>
    <t>비일치</t>
    <phoneticPr fontId="2" type="noConversion"/>
  </si>
  <si>
    <t>대학_고교</t>
    <phoneticPr fontId="2" type="noConversion"/>
  </si>
  <si>
    <t>산업분류(대분류)</t>
  </si>
  <si>
    <t>-</t>
  </si>
  <si>
    <t>가구 내 고용활동 및 달리 분류되지 않은 자가 소비 생산활동</t>
  </si>
  <si>
    <t>건설업</t>
  </si>
  <si>
    <t>공공 행정, 국방 및 사회보장 행정</t>
  </si>
  <si>
    <t>광업</t>
  </si>
  <si>
    <t>교육 서비스업</t>
  </si>
  <si>
    <t>국제 및 외국기관</t>
  </si>
  <si>
    <t>금융 및 보험업</t>
  </si>
  <si>
    <t>농업, 임업 및 어업</t>
  </si>
  <si>
    <t>도매 및 소매업</t>
  </si>
  <si>
    <t>보건업 및 사회복지 서비스업</t>
  </si>
  <si>
    <t>부동산업</t>
  </si>
  <si>
    <t>사업시설 관리, 사업 지원 및 임대 서비스업</t>
  </si>
  <si>
    <t>수도, 하수 및 폐기물 처리, 원료 재생업</t>
  </si>
  <si>
    <t>숙박 및 음식점업</t>
  </si>
  <si>
    <t>예술, 스포츠 및 여가관련 서비스업</t>
  </si>
  <si>
    <t>운수 및 창고업</t>
  </si>
  <si>
    <t>전기, 가스, 증기 및 공기 조절 공급업</t>
  </si>
  <si>
    <t>전문, 과학 및 기술 서비스업</t>
  </si>
  <si>
    <t>정보통신업</t>
  </si>
  <si>
    <t>제조업</t>
  </si>
  <si>
    <t>협회 및 단체, 수리 및 기타 개인 서비스업</t>
  </si>
  <si>
    <t>비율</t>
  </si>
  <si>
    <t>교내취업자, TMO 제외</t>
    <phoneticPr fontId="2" type="noConversion"/>
  </si>
  <si>
    <t>임금수준</t>
  </si>
  <si>
    <t>100만원미만</t>
  </si>
  <si>
    <t>100만원이상-200만원미만</t>
  </si>
  <si>
    <t>200만원이상-300만원미안</t>
  </si>
  <si>
    <t>300만원이상-400만원미만</t>
  </si>
  <si>
    <t>400만원이상</t>
  </si>
  <si>
    <t>기업규모</t>
  </si>
  <si>
    <t>1,000명이상</t>
  </si>
  <si>
    <t>300명이상-1,000명미만</t>
  </si>
  <si>
    <t>30명이상-300명미안</t>
  </si>
  <si>
    <t>5명미만</t>
  </si>
  <si>
    <t>5명이상-30명미만</t>
  </si>
  <si>
    <t>30명이상-300명미만</t>
    <phoneticPr fontId="2" type="noConversion"/>
  </si>
  <si>
    <t>취업준비기간</t>
  </si>
  <si>
    <t>입학전</t>
  </si>
  <si>
    <t>졸업전</t>
  </si>
  <si>
    <t>졸업후12개월초과-16개월이하</t>
  </si>
  <si>
    <t>졸업후16개월초과</t>
  </si>
  <si>
    <t>졸업후3개월이하</t>
  </si>
  <si>
    <t>졸업후3개월초과-6개월이하</t>
  </si>
  <si>
    <t>졸업후6개월초과-9개월이하</t>
  </si>
  <si>
    <t>졸업후9개월초과-12개월이하</t>
  </si>
  <si>
    <t>기업유형</t>
  </si>
  <si>
    <t>공공기관 및 공기업</t>
  </si>
  <si>
    <t>국가 및 지방자치단체</t>
  </si>
  <si>
    <t>대기업</t>
  </si>
  <si>
    <t>비영리법인</t>
  </si>
  <si>
    <t>중견기업</t>
  </si>
  <si>
    <t>중소기업</t>
  </si>
  <si>
    <t>근무지역</t>
  </si>
  <si>
    <t>유지취업율1차</t>
  </si>
  <si>
    <t>유지취업율2차</t>
  </si>
  <si>
    <t>유지취업율3차</t>
  </si>
  <si>
    <t>유지취업율4차</t>
  </si>
  <si>
    <t>비장애인</t>
    <phoneticPr fontId="2" type="noConversion"/>
  </si>
  <si>
    <t>장애인</t>
    <phoneticPr fontId="2" type="noConversion"/>
  </si>
  <si>
    <t>장애인</t>
    <phoneticPr fontId="2" type="noConversion"/>
  </si>
  <si>
    <t>대학과정</t>
    <phoneticPr fontId="2" type="noConversion"/>
  </si>
  <si>
    <t>대학원과정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</si>
</sst>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0" fillId="0" borderId="1" xfId="0" applyBorder="1">
      <alignment vertical="center"/>
    </xf>
    <xf numFmtId="10" fontId="0" fillId="0" borderId="1" xfId="1" applyNumberFormat="1" applyFont="1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6" fontId="0" fillId="0" borderId="2" xfId="1" applyNumberFormat="1" applyFont="1" applyBorder="1">
      <alignment vertical="center"/>
    </xf>
    <xf numFmtId="41" fontId="0" fillId="0" borderId="1" xfId="2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41" fontId="0" fillId="0" borderId="0" xfId="2" applyFont="1">
      <alignment vertical="center"/>
    </xf>
    <xf numFmtId="0" fontId="0" fillId="0" borderId="0" xfId="0" applyBorder="1">
      <alignment vertical="center"/>
    </xf>
    <xf numFmtId="176" fontId="0" fillId="0" borderId="0" xfId="1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08"/>
  <sheetViews>
    <sheetView tabSelected="1" topLeftCell="AQ1" workbookViewId="0">
      <selection activeCell="AS1" sqref="AS1:AV1"/>
    </sheetView>
  </sheetViews>
  <sheetFormatPr defaultRowHeight="17.399999999999999" x14ac:dyDescent="0.4"/>
  <cols>
    <col min="1" max="1" width="10.3984375" bestFit="1" customWidth="1"/>
    <col min="6" max="6" width="9.19921875" bestFit="1" customWidth="1"/>
    <col min="7" max="7" width="8.796875" style="2"/>
    <col min="12" max="12" width="13.5" bestFit="1" customWidth="1"/>
    <col min="13" max="13" width="9.19921875" bestFit="1" customWidth="1"/>
    <col min="19" max="19" width="9.19921875" bestFit="1" customWidth="1"/>
    <col min="25" max="25" width="21.8984375" bestFit="1" customWidth="1"/>
    <col min="26" max="26" width="9.19921875" bestFit="1" customWidth="1"/>
    <col min="44" max="44" width="22.19921875" bestFit="1" customWidth="1"/>
    <col min="46" max="46" width="8.796875" style="1"/>
    <col min="59" max="60" width="8.59765625" bestFit="1" customWidth="1"/>
    <col min="61" max="61" width="9" style="1" customWidth="1"/>
    <col min="62" max="62" width="8.59765625" bestFit="1" customWidth="1"/>
    <col min="63" max="63" width="9" style="1" customWidth="1"/>
    <col min="96" max="96" width="8.796875" style="1"/>
    <col min="108" max="108" width="17.5" bestFit="1" customWidth="1"/>
  </cols>
  <sheetData>
    <row r="1" spans="1:112" x14ac:dyDescent="0.4">
      <c r="A1" s="3" t="s">
        <v>0</v>
      </c>
      <c r="B1" s="3" t="s">
        <v>3</v>
      </c>
      <c r="C1" s="3" t="s">
        <v>4</v>
      </c>
      <c r="E1" s="3"/>
      <c r="F1" s="9" t="s">
        <v>25</v>
      </c>
      <c r="G1" s="9"/>
      <c r="H1" s="9" t="s">
        <v>26</v>
      </c>
      <c r="I1" s="9"/>
      <c r="J1" s="3"/>
      <c r="L1" s="3"/>
      <c r="M1" s="9" t="s">
        <v>25</v>
      </c>
      <c r="N1" s="9"/>
      <c r="O1" s="9" t="s">
        <v>26</v>
      </c>
      <c r="P1" s="9"/>
      <c r="R1" s="3"/>
      <c r="S1" s="9" t="s">
        <v>25</v>
      </c>
      <c r="T1" s="9"/>
      <c r="U1" s="9" t="s">
        <v>26</v>
      </c>
      <c r="V1" s="9"/>
      <c r="W1" s="3"/>
      <c r="Y1" s="3"/>
      <c r="Z1" s="9" t="s">
        <v>25</v>
      </c>
      <c r="AA1" s="9"/>
      <c r="AB1" s="9" t="s">
        <v>26</v>
      </c>
      <c r="AC1" s="9"/>
      <c r="AE1" s="3"/>
      <c r="AF1" s="9" t="s">
        <v>25</v>
      </c>
      <c r="AG1" s="9"/>
      <c r="AH1" s="9" t="s">
        <v>26</v>
      </c>
      <c r="AI1" s="9"/>
      <c r="AK1" s="3"/>
      <c r="AL1" s="3"/>
      <c r="AM1" s="9" t="s">
        <v>25</v>
      </c>
      <c r="AN1" s="9"/>
      <c r="AO1" s="9" t="s">
        <v>26</v>
      </c>
      <c r="AP1" s="9"/>
      <c r="AS1" s="11" t="s">
        <v>92</v>
      </c>
      <c r="AT1" s="18"/>
      <c r="AU1" s="18"/>
      <c r="AV1" s="19"/>
      <c r="AW1" s="9" t="s">
        <v>202</v>
      </c>
      <c r="AX1" s="9"/>
      <c r="AY1" s="9"/>
      <c r="AZ1" s="9"/>
      <c r="BA1" s="9" t="s">
        <v>203</v>
      </c>
      <c r="BB1" s="9"/>
      <c r="BC1" s="9"/>
      <c r="BD1" s="9"/>
      <c r="BG1" s="3"/>
      <c r="BH1" s="9" t="s">
        <v>25</v>
      </c>
      <c r="BI1" s="9"/>
      <c r="BJ1" s="9" t="s">
        <v>26</v>
      </c>
      <c r="BK1" s="9"/>
      <c r="BN1" s="3"/>
      <c r="BO1" s="9" t="s">
        <v>25</v>
      </c>
      <c r="BP1" s="9"/>
      <c r="BQ1" s="9" t="s">
        <v>26</v>
      </c>
      <c r="BR1" s="9"/>
      <c r="BU1" s="9" t="s">
        <v>99</v>
      </c>
      <c r="BV1" s="9"/>
      <c r="BW1" s="9"/>
      <c r="BX1" s="9"/>
      <c r="BY1" s="9"/>
      <c r="CB1" s="9" t="s">
        <v>100</v>
      </c>
      <c r="CC1" s="9"/>
      <c r="CD1" s="9"/>
      <c r="CE1" s="9"/>
      <c r="CF1" s="9"/>
      <c r="CH1" s="3"/>
      <c r="CI1" s="3"/>
      <c r="CJ1" s="9" t="s">
        <v>25</v>
      </c>
      <c r="CK1" s="9"/>
      <c r="CL1" s="9" t="s">
        <v>26</v>
      </c>
      <c r="CM1" s="9"/>
      <c r="CO1" s="3"/>
      <c r="CP1" s="3"/>
      <c r="CQ1" s="9" t="s">
        <v>25</v>
      </c>
      <c r="CR1" s="9"/>
      <c r="CS1" s="9" t="s">
        <v>26</v>
      </c>
      <c r="CT1" s="9"/>
      <c r="CW1" s="3"/>
      <c r="CX1" s="9" t="s">
        <v>25</v>
      </c>
      <c r="CY1" s="9"/>
      <c r="CZ1" s="9" t="s">
        <v>26</v>
      </c>
      <c r="DA1" s="9"/>
      <c r="DD1" s="3"/>
      <c r="DE1" s="9" t="s">
        <v>25</v>
      </c>
      <c r="DF1" s="9"/>
      <c r="DG1" s="9" t="s">
        <v>26</v>
      </c>
      <c r="DH1" s="9"/>
    </row>
    <row r="2" spans="1:112" x14ac:dyDescent="0.4">
      <c r="A2" s="3" t="s">
        <v>1</v>
      </c>
      <c r="B2" s="3">
        <v>529820</v>
      </c>
      <c r="C2" s="6">
        <v>0.99421284133727605</v>
      </c>
      <c r="E2" s="3" t="s">
        <v>5</v>
      </c>
      <c r="F2" s="3" t="s">
        <v>23</v>
      </c>
      <c r="G2" s="4" t="s">
        <v>24</v>
      </c>
      <c r="H2" s="3" t="s">
        <v>23</v>
      </c>
      <c r="I2" s="4" t="s">
        <v>24</v>
      </c>
      <c r="J2" s="3"/>
      <c r="L2" s="3" t="s">
        <v>80</v>
      </c>
      <c r="M2" s="3" t="s">
        <v>23</v>
      </c>
      <c r="N2" s="4" t="s">
        <v>24</v>
      </c>
      <c r="O2" s="3" t="s">
        <v>23</v>
      </c>
      <c r="P2" s="4" t="s">
        <v>24</v>
      </c>
      <c r="R2" s="3" t="s">
        <v>5</v>
      </c>
      <c r="S2" s="3" t="s">
        <v>23</v>
      </c>
      <c r="T2" s="4" t="s">
        <v>24</v>
      </c>
      <c r="U2" s="3" t="s">
        <v>23</v>
      </c>
      <c r="V2" s="4" t="s">
        <v>24</v>
      </c>
      <c r="W2" s="3"/>
      <c r="Y2" s="3" t="s">
        <v>30</v>
      </c>
      <c r="Z2" s="3" t="s">
        <v>23</v>
      </c>
      <c r="AA2" s="4" t="s">
        <v>24</v>
      </c>
      <c r="AB2" s="3" t="s">
        <v>23</v>
      </c>
      <c r="AC2" s="4" t="s">
        <v>24</v>
      </c>
      <c r="AE2" s="3" t="s">
        <v>40</v>
      </c>
      <c r="AF2" s="3" t="s">
        <v>23</v>
      </c>
      <c r="AG2" s="4" t="s">
        <v>24</v>
      </c>
      <c r="AH2" s="3" t="s">
        <v>23</v>
      </c>
      <c r="AI2" s="4" t="s">
        <v>24</v>
      </c>
      <c r="AK2" s="3" t="s">
        <v>88</v>
      </c>
      <c r="AL2" s="3" t="s">
        <v>40</v>
      </c>
      <c r="AM2" s="3" t="s">
        <v>23</v>
      </c>
      <c r="AN2" s="4" t="s">
        <v>24</v>
      </c>
      <c r="AO2" s="3" t="s">
        <v>23</v>
      </c>
      <c r="AP2" s="4" t="s">
        <v>24</v>
      </c>
      <c r="AR2" s="3"/>
      <c r="AS2" s="9" t="s">
        <v>25</v>
      </c>
      <c r="AT2" s="9"/>
      <c r="AU2" s="9" t="s">
        <v>26</v>
      </c>
      <c r="AV2" s="11"/>
      <c r="AW2" s="9" t="s">
        <v>25</v>
      </c>
      <c r="AX2" s="9"/>
      <c r="AY2" s="9" t="s">
        <v>26</v>
      </c>
      <c r="AZ2" s="9"/>
      <c r="BA2" s="9" t="s">
        <v>25</v>
      </c>
      <c r="BB2" s="9"/>
      <c r="BC2" s="9" t="s">
        <v>26</v>
      </c>
      <c r="BD2" s="9"/>
      <c r="BG2" s="3" t="s">
        <v>94</v>
      </c>
      <c r="BH2" s="3" t="s">
        <v>23</v>
      </c>
      <c r="BI2" s="6" t="s">
        <v>24</v>
      </c>
      <c r="BJ2" s="3" t="s">
        <v>23</v>
      </c>
      <c r="BK2" s="6" t="s">
        <v>24</v>
      </c>
      <c r="BN2" s="3" t="s">
        <v>94</v>
      </c>
      <c r="BO2" s="3" t="s">
        <v>23</v>
      </c>
      <c r="BP2" s="6" t="s">
        <v>24</v>
      </c>
      <c r="BQ2" s="3" t="s">
        <v>23</v>
      </c>
      <c r="BR2" s="6" t="s">
        <v>24</v>
      </c>
      <c r="BU2" s="3"/>
      <c r="BV2" s="9" t="s">
        <v>25</v>
      </c>
      <c r="BW2" s="9"/>
      <c r="BX2" s="9" t="s">
        <v>26</v>
      </c>
      <c r="BY2" s="9"/>
      <c r="CB2" s="3"/>
      <c r="CC2" s="9" t="s">
        <v>25</v>
      </c>
      <c r="CD2" s="9"/>
      <c r="CE2" s="9" t="s">
        <v>26</v>
      </c>
      <c r="CF2" s="9"/>
      <c r="CH2" s="3" t="s">
        <v>5</v>
      </c>
      <c r="CI2" s="3" t="s">
        <v>95</v>
      </c>
      <c r="CJ2" s="3" t="s">
        <v>23</v>
      </c>
      <c r="CK2" s="6" t="s">
        <v>24</v>
      </c>
      <c r="CL2" s="3" t="s">
        <v>23</v>
      </c>
      <c r="CM2" s="6" t="s">
        <v>24</v>
      </c>
      <c r="CO2" s="3" t="s">
        <v>5</v>
      </c>
      <c r="CP2" s="3" t="s">
        <v>105</v>
      </c>
      <c r="CQ2" s="3" t="s">
        <v>23</v>
      </c>
      <c r="CR2" s="6" t="s">
        <v>24</v>
      </c>
      <c r="CS2" s="3" t="s">
        <v>23</v>
      </c>
      <c r="CT2" s="6" t="s">
        <v>24</v>
      </c>
      <c r="CW2" s="3" t="s">
        <v>106</v>
      </c>
      <c r="CX2" s="3" t="s">
        <v>23</v>
      </c>
      <c r="CY2" s="6" t="s">
        <v>24</v>
      </c>
      <c r="CZ2" s="3" t="s">
        <v>23</v>
      </c>
      <c r="DA2" s="6" t="s">
        <v>24</v>
      </c>
      <c r="DD2" s="3" t="s">
        <v>108</v>
      </c>
      <c r="DE2" s="3" t="s">
        <v>23</v>
      </c>
      <c r="DF2" s="6" t="s">
        <v>24</v>
      </c>
      <c r="DG2" s="3" t="s">
        <v>23</v>
      </c>
      <c r="DH2" s="6" t="s">
        <v>24</v>
      </c>
    </row>
    <row r="3" spans="1:112" x14ac:dyDescent="0.4">
      <c r="A3" s="3" t="s">
        <v>2</v>
      </c>
      <c r="B3" s="3">
        <v>3084</v>
      </c>
      <c r="C3" s="6">
        <v>5.7871586627234904E-3</v>
      </c>
      <c r="E3" s="3" t="s">
        <v>14</v>
      </c>
      <c r="F3" s="8">
        <v>110688</v>
      </c>
      <c r="G3" s="4">
        <v>0.20891623570269099</v>
      </c>
      <c r="H3" s="3">
        <v>451</v>
      </c>
      <c r="I3" s="4">
        <v>0.14623865110246401</v>
      </c>
      <c r="J3" s="5">
        <f>G3-I3</f>
        <v>6.2677584600226988E-2</v>
      </c>
      <c r="L3" s="3" t="s">
        <v>81</v>
      </c>
      <c r="M3" s="8">
        <v>165292</v>
      </c>
      <c r="N3" s="6">
        <v>0.31197765278773898</v>
      </c>
      <c r="O3" s="3">
        <v>1276</v>
      </c>
      <c r="P3" s="6">
        <v>0.41374837872892301</v>
      </c>
      <c r="R3" s="3" t="s">
        <v>27</v>
      </c>
      <c r="S3" s="8">
        <v>90925</v>
      </c>
      <c r="T3" s="6">
        <v>0.17161488807519501</v>
      </c>
      <c r="U3" s="3">
        <v>515</v>
      </c>
      <c r="V3" s="6">
        <v>0.16699092088197101</v>
      </c>
      <c r="W3" s="5">
        <f>T3-V3</f>
        <v>4.623967193223999E-3</v>
      </c>
      <c r="Y3" s="3" t="s">
        <v>31</v>
      </c>
      <c r="Z3" s="8">
        <v>42741</v>
      </c>
      <c r="AA3" s="6">
        <v>8.0670793854516601E-2</v>
      </c>
      <c r="AB3" s="3">
        <v>551</v>
      </c>
      <c r="AC3" s="6">
        <v>0.17866407263294401</v>
      </c>
      <c r="AE3" s="3" t="s">
        <v>41</v>
      </c>
      <c r="AF3" s="3">
        <v>44105</v>
      </c>
      <c r="AG3" s="6">
        <v>8.3245253104828096E-2</v>
      </c>
      <c r="AH3" s="3">
        <v>314</v>
      </c>
      <c r="AI3" s="6">
        <v>0.101815823605707</v>
      </c>
      <c r="AK3" s="10" t="s">
        <v>91</v>
      </c>
      <c r="AL3" s="3" t="s">
        <v>41</v>
      </c>
      <c r="AM3" s="8">
        <v>4372</v>
      </c>
      <c r="AN3" s="6">
        <v>2.64501609273286E-2</v>
      </c>
      <c r="AO3" s="3">
        <v>42</v>
      </c>
      <c r="AP3" s="6">
        <v>3.2915360501567403E-2</v>
      </c>
      <c r="AR3" s="3" t="s">
        <v>48</v>
      </c>
      <c r="AS3" s="3" t="s">
        <v>23</v>
      </c>
      <c r="AT3" s="6" t="s">
        <v>24</v>
      </c>
      <c r="AU3" s="3" t="s">
        <v>23</v>
      </c>
      <c r="AV3" s="7" t="s">
        <v>24</v>
      </c>
      <c r="AW3" s="3" t="s">
        <v>23</v>
      </c>
      <c r="AX3" s="6" t="s">
        <v>24</v>
      </c>
      <c r="AY3" s="3" t="s">
        <v>23</v>
      </c>
      <c r="AZ3" s="6" t="s">
        <v>24</v>
      </c>
      <c r="BA3" s="3" t="s">
        <v>23</v>
      </c>
      <c r="BB3" s="6" t="s">
        <v>24</v>
      </c>
      <c r="BC3" s="3" t="s">
        <v>23</v>
      </c>
      <c r="BD3" s="6" t="s">
        <v>24</v>
      </c>
      <c r="BG3" s="3" t="s">
        <v>14</v>
      </c>
      <c r="BH3" s="3">
        <v>97983</v>
      </c>
      <c r="BI3" s="6">
        <v>0.18493639349212901</v>
      </c>
      <c r="BJ3" s="3">
        <v>451</v>
      </c>
      <c r="BK3" s="6">
        <v>0.14623865110246401</v>
      </c>
      <c r="BN3" s="3" t="s">
        <v>96</v>
      </c>
      <c r="BO3" s="3">
        <v>263667</v>
      </c>
      <c r="BP3" s="6">
        <v>0.49765392019931298</v>
      </c>
      <c r="BQ3" s="3">
        <v>1330</v>
      </c>
      <c r="BR3" s="6">
        <v>0.43125810635538298</v>
      </c>
      <c r="BU3" s="3" t="s">
        <v>5</v>
      </c>
      <c r="BV3" s="3" t="s">
        <v>23</v>
      </c>
      <c r="BW3" s="6" t="s">
        <v>24</v>
      </c>
      <c r="BX3" s="3" t="s">
        <v>23</v>
      </c>
      <c r="BY3" s="6" t="s">
        <v>24</v>
      </c>
      <c r="CB3" s="3" t="s">
        <v>98</v>
      </c>
      <c r="CC3" s="3" t="s">
        <v>23</v>
      </c>
      <c r="CD3" s="6" t="s">
        <v>24</v>
      </c>
      <c r="CE3" s="3" t="s">
        <v>23</v>
      </c>
      <c r="CF3" s="6" t="s">
        <v>24</v>
      </c>
      <c r="CH3" s="9" t="s">
        <v>14</v>
      </c>
      <c r="CI3" s="3" t="s">
        <v>101</v>
      </c>
      <c r="CJ3" s="3">
        <v>55730</v>
      </c>
      <c r="CK3" s="6">
        <v>0.50348727956056705</v>
      </c>
      <c r="CL3" s="3">
        <v>240</v>
      </c>
      <c r="CM3" s="6">
        <v>0.53215077605321504</v>
      </c>
      <c r="CO3" s="9" t="s">
        <v>14</v>
      </c>
      <c r="CP3" s="3" t="s">
        <v>103</v>
      </c>
      <c r="CQ3" s="3">
        <v>79403</v>
      </c>
      <c r="CR3" s="6">
        <v>0.71735870193697604</v>
      </c>
      <c r="CS3" s="3">
        <v>319</v>
      </c>
      <c r="CT3" s="6">
        <v>0.707317073170732</v>
      </c>
      <c r="CW3" s="3" t="s">
        <v>107</v>
      </c>
      <c r="CX3" s="3">
        <v>473229</v>
      </c>
      <c r="CY3" s="6">
        <v>0.89318825261409496</v>
      </c>
      <c r="CZ3" s="3">
        <v>2777</v>
      </c>
      <c r="DA3" s="6">
        <v>0.90045395590142696</v>
      </c>
      <c r="DD3" s="3" t="s">
        <v>109</v>
      </c>
      <c r="DE3" s="3">
        <v>4030</v>
      </c>
      <c r="DF3" s="6">
        <v>7.6063568759201202E-3</v>
      </c>
      <c r="DG3" s="3">
        <v>43</v>
      </c>
      <c r="DH3" s="6">
        <v>1.39429312581064E-2</v>
      </c>
    </row>
    <row r="4" spans="1:112" x14ac:dyDescent="0.4">
      <c r="E4" s="3" t="s">
        <v>13</v>
      </c>
      <c r="F4" s="8">
        <v>44108</v>
      </c>
      <c r="G4" s="4">
        <v>8.3250915405231996E-2</v>
      </c>
      <c r="H4" s="3">
        <v>241</v>
      </c>
      <c r="I4" s="4">
        <v>7.8145265888456494E-2</v>
      </c>
      <c r="J4" s="5">
        <f t="shared" ref="J4:J19" si="0">G4-I4</f>
        <v>5.1056495167755012E-3</v>
      </c>
      <c r="L4" s="3" t="s">
        <v>82</v>
      </c>
      <c r="M4" s="8">
        <v>3652</v>
      </c>
      <c r="N4" s="6">
        <v>6.8929070250273701E-3</v>
      </c>
      <c r="O4" s="3">
        <v>64</v>
      </c>
      <c r="P4" s="6">
        <v>2.0752269779507101E-2</v>
      </c>
      <c r="R4" s="3" t="s">
        <v>28</v>
      </c>
      <c r="S4" s="8">
        <v>4981</v>
      </c>
      <c r="T4" s="6">
        <v>9.4013061039598406E-3</v>
      </c>
      <c r="U4" s="3">
        <v>43</v>
      </c>
      <c r="V4" s="6">
        <v>1.39429312581064E-2</v>
      </c>
      <c r="W4" s="5">
        <f t="shared" ref="W4:W5" si="1">T4-V4</f>
        <v>-4.5416251541465589E-3</v>
      </c>
      <c r="Y4" s="3" t="s">
        <v>32</v>
      </c>
      <c r="Z4" s="8">
        <v>59440</v>
      </c>
      <c r="AA4" s="6">
        <v>0.112189045336152</v>
      </c>
      <c r="AB4" s="3">
        <v>633</v>
      </c>
      <c r="AC4" s="6">
        <v>0.20525291828793801</v>
      </c>
      <c r="AE4" s="3" t="s">
        <v>42</v>
      </c>
      <c r="AF4" s="3">
        <v>127902</v>
      </c>
      <c r="AG4" s="6">
        <v>0.24140651542033101</v>
      </c>
      <c r="AH4" s="3">
        <v>1234</v>
      </c>
      <c r="AI4" s="6">
        <v>0.400129701686122</v>
      </c>
      <c r="AK4" s="10"/>
      <c r="AL4" s="3" t="s">
        <v>42</v>
      </c>
      <c r="AM4" s="8">
        <v>38522</v>
      </c>
      <c r="AN4" s="6">
        <v>0.23305423129976</v>
      </c>
      <c r="AO4" s="3">
        <v>646</v>
      </c>
      <c r="AP4" s="6">
        <v>0.50626959247648895</v>
      </c>
      <c r="AR4" s="3" t="s">
        <v>49</v>
      </c>
      <c r="AS4" s="8">
        <v>12525</v>
      </c>
      <c r="AT4" s="6">
        <v>7.5774992135130601E-2</v>
      </c>
      <c r="AU4" s="3">
        <v>16</v>
      </c>
      <c r="AV4" s="7">
        <v>1.2539184952978099E-2</v>
      </c>
      <c r="AW4" s="8">
        <v>10435</v>
      </c>
      <c r="AX4" s="6">
        <v>3.20258047883719E-2</v>
      </c>
      <c r="AY4" s="3">
        <v>12</v>
      </c>
      <c r="AZ4" s="6">
        <v>7.7319587628866E-3</v>
      </c>
      <c r="BA4" s="8">
        <v>772</v>
      </c>
      <c r="BB4" s="6">
        <v>1.9949866914747899E-2</v>
      </c>
      <c r="BC4" s="3">
        <v>4</v>
      </c>
      <c r="BD4" s="6">
        <v>1.5625E-2</v>
      </c>
      <c r="BG4" s="3" t="s">
        <v>13</v>
      </c>
      <c r="BH4" s="3">
        <v>35871</v>
      </c>
      <c r="BI4" s="6">
        <v>6.7704125929561002E-2</v>
      </c>
      <c r="BJ4" s="3">
        <v>212</v>
      </c>
      <c r="BK4" s="6">
        <v>6.8741893644617399E-2</v>
      </c>
      <c r="BN4" s="3" t="s">
        <v>97</v>
      </c>
      <c r="BO4" s="3">
        <v>266153</v>
      </c>
      <c r="BP4" s="6">
        <v>0.50234607980068702</v>
      </c>
      <c r="BQ4" s="3">
        <v>1754</v>
      </c>
      <c r="BR4" s="6">
        <v>0.56874189364461702</v>
      </c>
      <c r="BU4" s="3" t="s">
        <v>14</v>
      </c>
      <c r="BV4" s="3">
        <v>54958</v>
      </c>
      <c r="BW4" s="6">
        <v>0.20649025184762099</v>
      </c>
      <c r="BX4" s="3">
        <v>211</v>
      </c>
      <c r="BY4" s="6">
        <v>0.12029646522234901</v>
      </c>
      <c r="CB4" s="3" t="s">
        <v>14</v>
      </c>
      <c r="CC4" s="3">
        <v>55730</v>
      </c>
      <c r="CD4" s="6">
        <v>0.21136509309090601</v>
      </c>
      <c r="CE4" s="3">
        <v>240</v>
      </c>
      <c r="CF4" s="6">
        <v>0.180451127819549</v>
      </c>
      <c r="CH4" s="9"/>
      <c r="CI4" s="3" t="s">
        <v>102</v>
      </c>
      <c r="CJ4" s="3">
        <v>54958</v>
      </c>
      <c r="CK4" s="6">
        <v>0.49651272043943301</v>
      </c>
      <c r="CL4" s="3">
        <v>211</v>
      </c>
      <c r="CM4" s="6">
        <v>0.46784922394678502</v>
      </c>
      <c r="CO4" s="9"/>
      <c r="CP4" s="3" t="s">
        <v>104</v>
      </c>
      <c r="CQ4" s="3">
        <v>31285</v>
      </c>
      <c r="CR4" s="6">
        <v>0.28264129806302402</v>
      </c>
      <c r="CS4" s="3">
        <v>132</v>
      </c>
      <c r="CT4" s="6">
        <v>0.292682926829268</v>
      </c>
      <c r="CW4" s="3" t="s">
        <v>106</v>
      </c>
      <c r="CX4" s="3">
        <v>56591</v>
      </c>
      <c r="CY4" s="6">
        <v>0.106811747385905</v>
      </c>
      <c r="CZ4" s="3">
        <v>307</v>
      </c>
      <c r="DA4" s="6">
        <v>9.9546044098573302E-2</v>
      </c>
      <c r="DD4" s="3" t="s">
        <v>110</v>
      </c>
      <c r="DE4" s="3">
        <v>3577</v>
      </c>
      <c r="DF4" s="6">
        <v>6.7513495149296001E-3</v>
      </c>
      <c r="DG4" s="3">
        <v>39</v>
      </c>
      <c r="DH4" s="6">
        <v>1.26459143968872E-2</v>
      </c>
    </row>
    <row r="5" spans="1:112" x14ac:dyDescent="0.4">
      <c r="E5" s="3" t="s">
        <v>11</v>
      </c>
      <c r="F5" s="8">
        <v>25361</v>
      </c>
      <c r="G5" s="4">
        <v>4.78672001811936E-2</v>
      </c>
      <c r="H5" s="3">
        <v>130</v>
      </c>
      <c r="I5" s="4">
        <v>4.2153047989623903E-2</v>
      </c>
      <c r="J5" s="5">
        <f t="shared" si="0"/>
        <v>5.7141521915696977E-3</v>
      </c>
      <c r="L5" s="3" t="s">
        <v>83</v>
      </c>
      <c r="M5" s="8">
        <v>311650</v>
      </c>
      <c r="N5" s="6">
        <v>0.58821864029293003</v>
      </c>
      <c r="O5" s="3">
        <v>1405</v>
      </c>
      <c r="P5" s="6">
        <v>0.45557717250324298</v>
      </c>
      <c r="R5" s="3" t="s">
        <v>29</v>
      </c>
      <c r="S5" s="8">
        <v>433914</v>
      </c>
      <c r="T5" s="6">
        <v>0.81898380582084496</v>
      </c>
      <c r="U5" s="3">
        <v>2526</v>
      </c>
      <c r="V5" s="6">
        <v>0.81906614785992204</v>
      </c>
      <c r="W5" s="5">
        <f t="shared" si="1"/>
        <v>-8.2342039077087925E-5</v>
      </c>
      <c r="Y5" s="3" t="s">
        <v>33</v>
      </c>
      <c r="Z5" s="8">
        <v>74853</v>
      </c>
      <c r="AA5" s="6">
        <v>0.141280057377977</v>
      </c>
      <c r="AB5" s="3">
        <v>453</v>
      </c>
      <c r="AC5" s="6">
        <v>0.14688715953307399</v>
      </c>
      <c r="AE5" s="3" t="s">
        <v>43</v>
      </c>
      <c r="AF5" s="3">
        <v>31345</v>
      </c>
      <c r="AG5" s="6">
        <v>5.91616020535276E-2</v>
      </c>
      <c r="AH5" s="3">
        <v>245</v>
      </c>
      <c r="AI5" s="6">
        <v>7.9442282749675699E-2</v>
      </c>
      <c r="AK5" s="10"/>
      <c r="AL5" s="3" t="s">
        <v>43</v>
      </c>
      <c r="AM5" s="8">
        <v>9582</v>
      </c>
      <c r="AN5" s="6">
        <v>5.7970137695714199E-2</v>
      </c>
      <c r="AO5" s="3">
        <v>55</v>
      </c>
      <c r="AP5" s="6">
        <v>4.31034482758621E-2</v>
      </c>
      <c r="AR5" s="3" t="s">
        <v>50</v>
      </c>
      <c r="AS5" s="8">
        <v>3770</v>
      </c>
      <c r="AT5" s="6">
        <v>2.2808121385184999E-2</v>
      </c>
      <c r="AU5" s="3">
        <v>18</v>
      </c>
      <c r="AV5" s="7">
        <v>1.41065830721003E-2</v>
      </c>
      <c r="AW5" s="8">
        <v>7546</v>
      </c>
      <c r="AX5" s="6">
        <v>2.3159245130144199E-2</v>
      </c>
      <c r="AY5" s="3">
        <v>17</v>
      </c>
      <c r="AZ5" s="6">
        <v>1.09536082474227E-2</v>
      </c>
      <c r="BA5" s="8">
        <v>700</v>
      </c>
      <c r="BB5" s="6">
        <v>1.8089257565185899E-2</v>
      </c>
      <c r="BC5" s="3">
        <v>4</v>
      </c>
      <c r="BD5" s="6">
        <v>1.5625E-2</v>
      </c>
      <c r="BG5" s="3" t="s">
        <v>11</v>
      </c>
      <c r="BH5" s="3">
        <v>30550</v>
      </c>
      <c r="BI5" s="6">
        <v>5.7661092446491299E-2</v>
      </c>
      <c r="BJ5" s="3">
        <v>181</v>
      </c>
      <c r="BK5" s="6">
        <v>5.8690012970168598E-2</v>
      </c>
      <c r="BU5" s="3" t="s">
        <v>13</v>
      </c>
      <c r="BV5" s="3">
        <v>27834</v>
      </c>
      <c r="BW5" s="6">
        <v>0.10457894519317799</v>
      </c>
      <c r="BX5" s="3">
        <v>171</v>
      </c>
      <c r="BY5" s="6">
        <v>9.7491448118586094E-2</v>
      </c>
      <c r="CB5" s="3" t="s">
        <v>13</v>
      </c>
      <c r="CC5" s="3">
        <v>16274</v>
      </c>
      <c r="CD5" s="6">
        <v>6.1721793019225001E-2</v>
      </c>
      <c r="CE5" s="3">
        <v>70</v>
      </c>
      <c r="CF5" s="6">
        <v>5.2631578947368397E-2</v>
      </c>
      <c r="CH5" s="9" t="s">
        <v>13</v>
      </c>
      <c r="CI5" s="3" t="s">
        <v>101</v>
      </c>
      <c r="CJ5" s="3">
        <v>16274</v>
      </c>
      <c r="CK5" s="6">
        <v>0.36895801215199098</v>
      </c>
      <c r="CL5" s="3">
        <v>70</v>
      </c>
      <c r="CM5" s="6">
        <v>0.29045643153527001</v>
      </c>
      <c r="CO5" s="9" t="s">
        <v>13</v>
      </c>
      <c r="CP5" s="3" t="s">
        <v>103</v>
      </c>
      <c r="CQ5" s="3">
        <v>22172</v>
      </c>
      <c r="CR5" s="6">
        <v>0.50267525165502902</v>
      </c>
      <c r="CS5" s="3">
        <v>101</v>
      </c>
      <c r="CT5" s="6">
        <v>0.41908713692946098</v>
      </c>
      <c r="DD5" s="3" t="s">
        <v>111</v>
      </c>
      <c r="DE5" s="3">
        <v>7095</v>
      </c>
      <c r="DF5" s="6">
        <v>1.3391340455249E-2</v>
      </c>
      <c r="DG5" s="3">
        <v>66</v>
      </c>
      <c r="DH5" s="6">
        <v>2.1400778210116701E-2</v>
      </c>
    </row>
    <row r="6" spans="1:112" x14ac:dyDescent="0.4">
      <c r="E6" s="3" t="s">
        <v>17</v>
      </c>
      <c r="F6" s="8">
        <v>15136</v>
      </c>
      <c r="G6" s="4">
        <v>2.8568192971197798E-2</v>
      </c>
      <c r="H6" s="3">
        <v>27</v>
      </c>
      <c r="I6" s="4">
        <v>8.7548638132295704E-3</v>
      </c>
      <c r="J6" s="5">
        <f t="shared" si="0"/>
        <v>1.9813329157968226E-2</v>
      </c>
      <c r="L6" s="3" t="s">
        <v>84</v>
      </c>
      <c r="M6" s="8">
        <v>38697</v>
      </c>
      <c r="N6" s="6">
        <v>7.30380129100449E-2</v>
      </c>
      <c r="O6" s="3">
        <v>256</v>
      </c>
      <c r="P6" s="6">
        <v>8.3009079118028503E-2</v>
      </c>
      <c r="Y6" s="3" t="s">
        <v>34</v>
      </c>
      <c r="Z6" s="8">
        <v>100683</v>
      </c>
      <c r="AA6" s="6">
        <v>0.19003246385564901</v>
      </c>
      <c r="AB6" s="3">
        <v>513</v>
      </c>
      <c r="AC6" s="6">
        <v>0.166342412451362</v>
      </c>
      <c r="AE6" s="3" t="s">
        <v>44</v>
      </c>
      <c r="AF6" s="3">
        <v>56947</v>
      </c>
      <c r="AG6" s="6">
        <v>0.10748367370050201</v>
      </c>
      <c r="AH6" s="3">
        <v>257</v>
      </c>
      <c r="AI6" s="6">
        <v>8.3333333333333301E-2</v>
      </c>
      <c r="AK6" s="10"/>
      <c r="AL6" s="3" t="s">
        <v>44</v>
      </c>
      <c r="AM6" s="8">
        <v>12897</v>
      </c>
      <c r="AN6" s="6">
        <v>7.8025554775790706E-2</v>
      </c>
      <c r="AO6" s="3">
        <v>110</v>
      </c>
      <c r="AP6" s="6">
        <v>8.6206896551724102E-2</v>
      </c>
      <c r="AR6" s="3" t="s">
        <v>51</v>
      </c>
      <c r="AS6" s="8">
        <v>19929</v>
      </c>
      <c r="AT6" s="6">
        <v>0.120568448563754</v>
      </c>
      <c r="AU6" s="3">
        <v>101</v>
      </c>
      <c r="AV6" s="7">
        <v>7.9153605015674006E-2</v>
      </c>
      <c r="AW6" s="8">
        <v>49794</v>
      </c>
      <c r="AX6" s="6">
        <v>0.152821554732361</v>
      </c>
      <c r="AY6" s="3">
        <v>178</v>
      </c>
      <c r="AZ6" s="6">
        <v>0.114690721649485</v>
      </c>
      <c r="BA6" s="8">
        <v>3028</v>
      </c>
      <c r="BB6" s="6">
        <v>7.8248959867689996E-2</v>
      </c>
      <c r="BC6" s="3">
        <v>26</v>
      </c>
      <c r="BD6" s="6">
        <v>0.1015625</v>
      </c>
      <c r="BG6" s="3" t="s">
        <v>17</v>
      </c>
      <c r="BH6" s="3">
        <v>27091</v>
      </c>
      <c r="BI6" s="6">
        <v>5.1132460080782101E-2</v>
      </c>
      <c r="BJ6" s="3">
        <v>117</v>
      </c>
      <c r="BK6" s="6">
        <v>3.7937743190661503E-2</v>
      </c>
      <c r="BU6" s="3" t="s">
        <v>11</v>
      </c>
      <c r="BV6" s="3">
        <v>15856</v>
      </c>
      <c r="BW6" s="6">
        <v>5.9574755873501299E-2</v>
      </c>
      <c r="BX6" s="3">
        <v>90</v>
      </c>
      <c r="BY6" s="6">
        <v>5.1311288483466402E-2</v>
      </c>
      <c r="CB6" s="3" t="s">
        <v>11</v>
      </c>
      <c r="CC6" s="3">
        <v>9505</v>
      </c>
      <c r="CD6" s="6">
        <v>3.6049259103338699E-2</v>
      </c>
      <c r="CE6" s="3">
        <v>40</v>
      </c>
      <c r="CF6" s="6">
        <v>3.00751879699248E-2</v>
      </c>
      <c r="CH6" s="9"/>
      <c r="CI6" s="3" t="s">
        <v>102</v>
      </c>
      <c r="CJ6" s="3">
        <v>27834</v>
      </c>
      <c r="CK6" s="6">
        <v>0.63104198784800902</v>
      </c>
      <c r="CL6" s="3">
        <v>171</v>
      </c>
      <c r="CM6" s="6">
        <v>0.70954356846472999</v>
      </c>
      <c r="CO6" s="9"/>
      <c r="CP6" s="3" t="s">
        <v>104</v>
      </c>
      <c r="CQ6" s="3">
        <v>21936</v>
      </c>
      <c r="CR6" s="6">
        <v>0.49732474834497098</v>
      </c>
      <c r="CS6" s="3">
        <v>140</v>
      </c>
      <c r="CT6" s="6">
        <v>0.58091286307053902</v>
      </c>
      <c r="DD6" s="3" t="s">
        <v>112</v>
      </c>
      <c r="DE6" s="3">
        <v>17969</v>
      </c>
      <c r="DF6" s="6">
        <v>3.3915291985957503E-2</v>
      </c>
      <c r="DG6" s="3">
        <v>192</v>
      </c>
      <c r="DH6" s="6">
        <v>6.2256809338521402E-2</v>
      </c>
    </row>
    <row r="7" spans="1:112" x14ac:dyDescent="0.4">
      <c r="E7" s="3" t="s">
        <v>10</v>
      </c>
      <c r="F7" s="8">
        <v>21777</v>
      </c>
      <c r="G7" s="4">
        <v>4.1102638631988202E-2</v>
      </c>
      <c r="H7" s="3">
        <v>140</v>
      </c>
      <c r="I7" s="4">
        <v>4.5395590142671902E-2</v>
      </c>
      <c r="J7" s="5">
        <f t="shared" si="0"/>
        <v>-4.2929515106836999E-3</v>
      </c>
      <c r="L7" s="3" t="s">
        <v>85</v>
      </c>
      <c r="M7" s="8">
        <v>7294</v>
      </c>
      <c r="N7" s="6">
        <v>1.3766939715374999E-2</v>
      </c>
      <c r="O7" s="3">
        <v>54</v>
      </c>
      <c r="P7" s="6">
        <v>1.7509727626459099E-2</v>
      </c>
      <c r="Y7" s="3" t="s">
        <v>35</v>
      </c>
      <c r="Z7" s="8">
        <v>78815</v>
      </c>
      <c r="AA7" s="6">
        <v>0.14875806877807601</v>
      </c>
      <c r="AB7" s="3">
        <v>337</v>
      </c>
      <c r="AC7" s="6">
        <v>0.109273670557717</v>
      </c>
      <c r="AE7" s="3" t="s">
        <v>45</v>
      </c>
      <c r="AF7" s="3">
        <v>144877</v>
      </c>
      <c r="AG7" s="6">
        <v>0.27344569853912598</v>
      </c>
      <c r="AH7" s="3">
        <v>508</v>
      </c>
      <c r="AI7" s="6">
        <v>0.16472114137483801</v>
      </c>
      <c r="AK7" s="10"/>
      <c r="AL7" s="3" t="s">
        <v>45</v>
      </c>
      <c r="AM7" s="8">
        <v>44046</v>
      </c>
      <c r="AN7" s="6">
        <v>0.26647387653365001</v>
      </c>
      <c r="AO7" s="3">
        <v>196</v>
      </c>
      <c r="AP7" s="6">
        <v>0.15360501567398099</v>
      </c>
      <c r="AR7" s="3" t="s">
        <v>52</v>
      </c>
      <c r="AS7" s="8">
        <v>56</v>
      </c>
      <c r="AT7" s="6">
        <v>3.3879437601335799E-4</v>
      </c>
      <c r="AU7" s="3">
        <v>4</v>
      </c>
      <c r="AV7" s="7">
        <v>3.1347962382445101E-3</v>
      </c>
      <c r="AW7" s="8">
        <v>1397</v>
      </c>
      <c r="AX7" s="6">
        <v>4.2874987340062801E-3</v>
      </c>
      <c r="AY7" s="3">
        <v>11</v>
      </c>
      <c r="AZ7" s="6">
        <v>7.0876288659793797E-3</v>
      </c>
      <c r="BA7" s="8">
        <v>911</v>
      </c>
      <c r="BB7" s="6">
        <v>2.3541876631263399E-2</v>
      </c>
      <c r="BC7" s="3">
        <v>8</v>
      </c>
      <c r="BD7" s="6">
        <v>3.125E-2</v>
      </c>
      <c r="BG7" s="3" t="s">
        <v>10</v>
      </c>
      <c r="BH7" s="3">
        <v>19991</v>
      </c>
      <c r="BI7" s="6">
        <v>3.7731682458193298E-2</v>
      </c>
      <c r="BJ7" s="3">
        <v>146</v>
      </c>
      <c r="BK7" s="6">
        <v>4.7341115434500598E-2</v>
      </c>
      <c r="BU7" s="3" t="s">
        <v>17</v>
      </c>
      <c r="BV7" s="3">
        <v>5907</v>
      </c>
      <c r="BW7" s="6">
        <v>2.2194001194801499E-2</v>
      </c>
      <c r="BX7" s="3">
        <v>16</v>
      </c>
      <c r="BY7" s="6">
        <v>9.1220068415051297E-3</v>
      </c>
      <c r="CB7" s="3" t="s">
        <v>17</v>
      </c>
      <c r="CC7" s="3">
        <v>9229</v>
      </c>
      <c r="CD7" s="6">
        <v>3.5002484194078101E-2</v>
      </c>
      <c r="CE7" s="3">
        <v>11</v>
      </c>
      <c r="CF7" s="6">
        <v>8.2706766917293208E-3</v>
      </c>
      <c r="CH7" s="9" t="s">
        <v>11</v>
      </c>
      <c r="CI7" s="3" t="s">
        <v>101</v>
      </c>
      <c r="CJ7" s="3">
        <v>9505</v>
      </c>
      <c r="CK7" s="6">
        <v>0.37478806040771301</v>
      </c>
      <c r="CL7" s="3">
        <v>40</v>
      </c>
      <c r="CM7" s="6">
        <v>0.30769230769230799</v>
      </c>
      <c r="CO7" s="9" t="s">
        <v>11</v>
      </c>
      <c r="CP7" s="3" t="s">
        <v>103</v>
      </c>
      <c r="CQ7" s="3">
        <v>13017</v>
      </c>
      <c r="CR7" s="6">
        <v>0.51326840424273501</v>
      </c>
      <c r="CS7" s="3">
        <v>61</v>
      </c>
      <c r="CT7" s="6">
        <v>0.46923076923076901</v>
      </c>
      <c r="DD7" s="3" t="s">
        <v>113</v>
      </c>
      <c r="DE7" s="3">
        <v>47737</v>
      </c>
      <c r="DF7" s="6">
        <v>9.0100411460495994E-2</v>
      </c>
      <c r="DG7" s="3">
        <v>466</v>
      </c>
      <c r="DH7" s="6">
        <v>0.151102464332036</v>
      </c>
    </row>
    <row r="8" spans="1:112" x14ac:dyDescent="0.4">
      <c r="E8" s="3" t="s">
        <v>12</v>
      </c>
      <c r="F8" s="8">
        <v>28536</v>
      </c>
      <c r="G8" s="4">
        <v>5.38598014419992E-2</v>
      </c>
      <c r="H8" s="3">
        <v>132</v>
      </c>
      <c r="I8" s="4">
        <v>4.2801556420233498E-2</v>
      </c>
      <c r="J8" s="5">
        <f t="shared" si="0"/>
        <v>1.1058245021765702E-2</v>
      </c>
      <c r="L8" s="3" t="s">
        <v>86</v>
      </c>
      <c r="M8" s="8">
        <v>532</v>
      </c>
      <c r="N8" s="6">
        <v>1.00411460496018E-3</v>
      </c>
      <c r="O8" s="3">
        <v>10</v>
      </c>
      <c r="P8" s="6">
        <v>3.2425421530479898E-3</v>
      </c>
      <c r="Y8" s="3" t="s">
        <v>36</v>
      </c>
      <c r="Z8" s="8">
        <v>44992</v>
      </c>
      <c r="AA8" s="6">
        <v>8.4919406590917706E-2</v>
      </c>
      <c r="AB8" s="3">
        <v>123</v>
      </c>
      <c r="AC8" s="6">
        <v>3.9883268482490297E-2</v>
      </c>
      <c r="AE8" s="3" t="s">
        <v>46</v>
      </c>
      <c r="AF8" s="3">
        <v>61118</v>
      </c>
      <c r="AG8" s="6">
        <v>0.115356158695406</v>
      </c>
      <c r="AH8" s="3">
        <v>156</v>
      </c>
      <c r="AI8" s="6">
        <v>5.0583657587548597E-2</v>
      </c>
      <c r="AK8" s="10"/>
      <c r="AL8" s="3" t="s">
        <v>46</v>
      </c>
      <c r="AM8" s="8">
        <v>30911</v>
      </c>
      <c r="AN8" s="6">
        <v>0.18700844565980199</v>
      </c>
      <c r="AO8" s="3">
        <v>69</v>
      </c>
      <c r="AP8" s="6">
        <v>5.4075235109717901E-2</v>
      </c>
      <c r="AR8" s="3" t="s">
        <v>53</v>
      </c>
      <c r="AS8" s="8">
        <v>2240</v>
      </c>
      <c r="AT8" s="6">
        <v>1.35517750405343E-2</v>
      </c>
      <c r="AU8" s="3">
        <v>8</v>
      </c>
      <c r="AV8" s="7">
        <v>6.2695924764890297E-3</v>
      </c>
      <c r="AW8" s="8">
        <v>4372</v>
      </c>
      <c r="AX8" s="6">
        <v>1.34179989012709E-2</v>
      </c>
      <c r="AY8" s="3">
        <v>7</v>
      </c>
      <c r="AZ8" s="6">
        <v>4.5103092783505203E-3</v>
      </c>
      <c r="BA8" s="8">
        <v>628</v>
      </c>
      <c r="BB8" s="6">
        <v>1.6228648215624E-2</v>
      </c>
      <c r="BC8" s="3">
        <v>0</v>
      </c>
      <c r="BD8" s="6">
        <v>0</v>
      </c>
      <c r="BG8" s="3" t="s">
        <v>12</v>
      </c>
      <c r="BH8" s="3">
        <v>17588</v>
      </c>
      <c r="BI8" s="6">
        <v>3.3196179834660798E-2</v>
      </c>
      <c r="BJ8" s="3">
        <v>123</v>
      </c>
      <c r="BK8" s="6">
        <v>3.9883268482490297E-2</v>
      </c>
      <c r="BU8" s="3" t="s">
        <v>10</v>
      </c>
      <c r="BV8" s="3">
        <v>13417</v>
      </c>
      <c r="BW8" s="6">
        <v>5.0410853907339001E-2</v>
      </c>
      <c r="BX8" s="3">
        <v>90</v>
      </c>
      <c r="BY8" s="6">
        <v>5.1311288483466402E-2</v>
      </c>
      <c r="CB8" s="3" t="s">
        <v>10</v>
      </c>
      <c r="CC8" s="3">
        <v>8360</v>
      </c>
      <c r="CD8" s="6">
        <v>3.1706660294993298E-2</v>
      </c>
      <c r="CE8" s="3">
        <v>50</v>
      </c>
      <c r="CF8" s="6">
        <v>3.7593984962405999E-2</v>
      </c>
      <c r="CH8" s="9"/>
      <c r="CI8" s="3" t="s">
        <v>102</v>
      </c>
      <c r="CJ8" s="3">
        <v>15856</v>
      </c>
      <c r="CK8" s="6">
        <v>0.62521193959228705</v>
      </c>
      <c r="CL8" s="3">
        <v>90</v>
      </c>
      <c r="CM8" s="6">
        <v>0.69230769230769196</v>
      </c>
      <c r="CO8" s="9"/>
      <c r="CP8" s="3" t="s">
        <v>104</v>
      </c>
      <c r="CQ8" s="3">
        <v>12344</v>
      </c>
      <c r="CR8" s="6">
        <v>0.48673159575726499</v>
      </c>
      <c r="CS8" s="3">
        <v>69</v>
      </c>
      <c r="CT8" s="6">
        <v>0.53076923076923099</v>
      </c>
      <c r="DD8" s="3" t="s">
        <v>114</v>
      </c>
      <c r="DE8" s="3">
        <v>106458</v>
      </c>
      <c r="DF8" s="6">
        <v>0.20093239213317701</v>
      </c>
      <c r="DG8" s="3">
        <v>777</v>
      </c>
      <c r="DH8" s="6">
        <v>0.25194552529182901</v>
      </c>
    </row>
    <row r="9" spans="1:112" x14ac:dyDescent="0.4">
      <c r="E9" s="3" t="s">
        <v>16</v>
      </c>
      <c r="F9" s="8">
        <v>6878</v>
      </c>
      <c r="G9" s="4">
        <v>1.2981767392699401E-2</v>
      </c>
      <c r="H9" s="3">
        <v>22</v>
      </c>
      <c r="I9" s="4">
        <v>7.1335927367055796E-3</v>
      </c>
      <c r="J9" s="5">
        <f t="shared" si="0"/>
        <v>5.8481746559938211E-3</v>
      </c>
      <c r="L9" s="3" t="s">
        <v>87</v>
      </c>
      <c r="M9" s="8">
        <v>2703</v>
      </c>
      <c r="N9" s="6">
        <v>5.1017326639235996E-3</v>
      </c>
      <c r="O9" s="3">
        <v>19</v>
      </c>
      <c r="P9" s="6">
        <v>6.1608300907911801E-3</v>
      </c>
      <c r="Y9" s="3" t="s">
        <v>37</v>
      </c>
      <c r="Z9" s="8">
        <v>43611</v>
      </c>
      <c r="AA9" s="6">
        <v>8.2312860971650706E-2</v>
      </c>
      <c r="AB9" s="3">
        <v>169</v>
      </c>
      <c r="AC9" s="6">
        <v>5.4798962386511003E-2</v>
      </c>
      <c r="AE9" s="3" t="s">
        <v>47</v>
      </c>
      <c r="AF9" s="3">
        <v>63526</v>
      </c>
      <c r="AG9" s="6">
        <v>0.119901098486278</v>
      </c>
      <c r="AH9" s="3">
        <v>370</v>
      </c>
      <c r="AI9" s="6">
        <v>0.11997405966277599</v>
      </c>
      <c r="AK9" s="10"/>
      <c r="AL9" s="3" t="s">
        <v>47</v>
      </c>
      <c r="AM9" s="8">
        <v>24962</v>
      </c>
      <c r="AN9" s="6">
        <v>0.15101759310795401</v>
      </c>
      <c r="AO9" s="3">
        <v>158</v>
      </c>
      <c r="AP9" s="6">
        <v>0.123824451410658</v>
      </c>
      <c r="AR9" s="3" t="s">
        <v>54</v>
      </c>
      <c r="AS9" s="8">
        <v>12017</v>
      </c>
      <c r="AT9" s="6">
        <v>7.2701643152723705E-2</v>
      </c>
      <c r="AU9" s="3">
        <v>38</v>
      </c>
      <c r="AV9" s="7">
        <v>2.9780564263322901E-2</v>
      </c>
      <c r="AW9" s="8">
        <v>12840</v>
      </c>
      <c r="AX9" s="6">
        <v>3.94069318143455E-2</v>
      </c>
      <c r="AY9" s="3">
        <v>34</v>
      </c>
      <c r="AZ9" s="6">
        <v>2.1907216494845401E-2</v>
      </c>
      <c r="BA9" s="8">
        <v>1612</v>
      </c>
      <c r="BB9" s="6">
        <v>4.1656975992971003E-2</v>
      </c>
      <c r="BC9" s="3">
        <v>11</v>
      </c>
      <c r="BD9" s="6">
        <v>4.296875E-2</v>
      </c>
      <c r="BG9" s="3" t="s">
        <v>16</v>
      </c>
      <c r="BH9" s="3">
        <v>12890</v>
      </c>
      <c r="BI9" s="6">
        <v>2.43290174021366E-2</v>
      </c>
      <c r="BJ9" s="3">
        <v>69</v>
      </c>
      <c r="BK9" s="6">
        <v>2.2373540856031101E-2</v>
      </c>
      <c r="BU9" s="3" t="s">
        <v>12</v>
      </c>
      <c r="BV9" s="3">
        <v>11724</v>
      </c>
      <c r="BW9" s="6">
        <v>4.4049851025537899E-2</v>
      </c>
      <c r="BX9" s="3">
        <v>75</v>
      </c>
      <c r="BY9" s="6">
        <v>4.2759407069555298E-2</v>
      </c>
      <c r="CB9" s="3" t="s">
        <v>12</v>
      </c>
      <c r="CC9" s="3">
        <v>16812</v>
      </c>
      <c r="CD9" s="6">
        <v>6.3762245559740097E-2</v>
      </c>
      <c r="CE9" s="3">
        <v>57</v>
      </c>
      <c r="CF9" s="6">
        <v>4.2857142857142899E-2</v>
      </c>
      <c r="CH9" s="9" t="s">
        <v>17</v>
      </c>
      <c r="CI9" s="3" t="s">
        <v>101</v>
      </c>
      <c r="CJ9" s="3">
        <v>9229</v>
      </c>
      <c r="CK9" s="6">
        <v>0.60973837209302295</v>
      </c>
      <c r="CL9" s="3">
        <v>11</v>
      </c>
      <c r="CM9" s="6">
        <v>0.407407407407407</v>
      </c>
      <c r="CO9" s="9" t="s">
        <v>17</v>
      </c>
      <c r="CP9" s="3" t="s">
        <v>103</v>
      </c>
      <c r="CQ9" s="3">
        <v>10301</v>
      </c>
      <c r="CR9" s="6">
        <v>0.68056289640592005</v>
      </c>
      <c r="CS9" s="3">
        <v>13</v>
      </c>
      <c r="CT9" s="6">
        <v>0.48148148148148101</v>
      </c>
      <c r="DD9" s="3" t="s">
        <v>115</v>
      </c>
      <c r="DE9" s="3">
        <v>158588</v>
      </c>
      <c r="DF9" s="6">
        <v>0.29932429881846701</v>
      </c>
      <c r="DG9" s="3">
        <v>749</v>
      </c>
      <c r="DH9" s="6">
        <v>0.242866407263294</v>
      </c>
    </row>
    <row r="10" spans="1:112" x14ac:dyDescent="0.4">
      <c r="E10" s="3" t="s">
        <v>15</v>
      </c>
      <c r="F10" s="8">
        <v>4151</v>
      </c>
      <c r="G10" s="4">
        <v>7.8347363255445203E-3</v>
      </c>
      <c r="H10" s="3">
        <v>16</v>
      </c>
      <c r="I10" s="4">
        <v>5.1880674448767797E-3</v>
      </c>
      <c r="J10" s="5">
        <f t="shared" si="0"/>
        <v>2.6466688806677406E-3</v>
      </c>
      <c r="Y10" s="3" t="s">
        <v>38</v>
      </c>
      <c r="Z10" s="8">
        <v>36068</v>
      </c>
      <c r="AA10" s="6">
        <v>6.80759503227511E-2</v>
      </c>
      <c r="AB10" s="3">
        <v>155</v>
      </c>
      <c r="AC10" s="6">
        <v>5.0259403372243799E-2</v>
      </c>
      <c r="AK10" s="10" t="s">
        <v>89</v>
      </c>
      <c r="AL10" s="3" t="s">
        <v>41</v>
      </c>
      <c r="AM10" s="8">
        <v>35952</v>
      </c>
      <c r="AN10" s="6">
        <v>0.110339409080167</v>
      </c>
      <c r="AO10" s="3">
        <v>226</v>
      </c>
      <c r="AP10" s="6">
        <v>0.14561855670103099</v>
      </c>
      <c r="AR10" s="3" t="s">
        <v>55</v>
      </c>
      <c r="AS10" s="8">
        <v>2535</v>
      </c>
      <c r="AT10" s="6">
        <v>1.53364954141761E-2</v>
      </c>
      <c r="AU10" s="3">
        <v>7</v>
      </c>
      <c r="AV10" s="7">
        <v>5.4858934169278997E-3</v>
      </c>
      <c r="AW10" s="8">
        <v>5177</v>
      </c>
      <c r="AX10" s="6">
        <v>1.5888604828883698E-2</v>
      </c>
      <c r="AY10" s="3">
        <v>18</v>
      </c>
      <c r="AZ10" s="6">
        <v>1.1597938144329901E-2</v>
      </c>
      <c r="BA10" s="8">
        <v>767</v>
      </c>
      <c r="BB10" s="6">
        <v>1.9820657932139399E-2</v>
      </c>
      <c r="BC10" s="3">
        <v>0</v>
      </c>
      <c r="BD10" s="6">
        <v>0</v>
      </c>
      <c r="BG10" s="3" t="s">
        <v>15</v>
      </c>
      <c r="BH10" s="3">
        <v>2317</v>
      </c>
      <c r="BI10" s="6">
        <v>4.3731833452870803E-3</v>
      </c>
      <c r="BJ10" s="3">
        <v>14</v>
      </c>
      <c r="BK10" s="6">
        <v>4.5395590142671902E-3</v>
      </c>
      <c r="BU10" s="3" t="s">
        <v>16</v>
      </c>
      <c r="BV10" s="3">
        <v>4148</v>
      </c>
      <c r="BW10" s="6">
        <v>1.5585020646019399E-2</v>
      </c>
      <c r="BX10" s="3">
        <v>14</v>
      </c>
      <c r="BY10" s="6">
        <v>7.98175598631699E-3</v>
      </c>
      <c r="CB10" s="3" t="s">
        <v>16</v>
      </c>
      <c r="CC10" s="3">
        <v>2730</v>
      </c>
      <c r="CD10" s="6">
        <v>1.0353969211164099E-2</v>
      </c>
      <c r="CE10" s="3">
        <v>8</v>
      </c>
      <c r="CF10" s="6">
        <v>6.0150375939849602E-3</v>
      </c>
      <c r="CH10" s="9"/>
      <c r="CI10" s="3" t="s">
        <v>102</v>
      </c>
      <c r="CJ10" s="3">
        <v>5907</v>
      </c>
      <c r="CK10" s="6">
        <v>0.39026162790697699</v>
      </c>
      <c r="CL10" s="3">
        <v>16</v>
      </c>
      <c r="CM10" s="6">
        <v>0.592592592592593</v>
      </c>
      <c r="CO10" s="9"/>
      <c r="CP10" s="3" t="s">
        <v>104</v>
      </c>
      <c r="CQ10" s="3">
        <v>4835</v>
      </c>
      <c r="CR10" s="6">
        <v>0.31943710359408001</v>
      </c>
      <c r="CS10" s="3">
        <v>14</v>
      </c>
      <c r="CT10" s="6">
        <v>0.51851851851851805</v>
      </c>
      <c r="DD10" s="3" t="s">
        <v>116</v>
      </c>
      <c r="DE10" s="3">
        <v>129498</v>
      </c>
      <c r="DF10" s="6">
        <v>0.244418859235212</v>
      </c>
      <c r="DG10" s="3">
        <v>498</v>
      </c>
      <c r="DH10" s="6">
        <v>0.16147859922179</v>
      </c>
    </row>
    <row r="11" spans="1:112" x14ac:dyDescent="0.4">
      <c r="E11" s="3" t="s">
        <v>7</v>
      </c>
      <c r="F11" s="8">
        <v>94274</v>
      </c>
      <c r="G11" s="4">
        <v>0.177935902759428</v>
      </c>
      <c r="H11" s="3">
        <v>498</v>
      </c>
      <c r="I11" s="4">
        <v>0.16147859922179</v>
      </c>
      <c r="J11" s="5">
        <f t="shared" si="0"/>
        <v>1.6457303537637996E-2</v>
      </c>
      <c r="Y11" s="3" t="s">
        <v>39</v>
      </c>
      <c r="Z11" s="8">
        <v>48617</v>
      </c>
      <c r="AA11" s="6">
        <v>9.1761352912309802E-2</v>
      </c>
      <c r="AB11" s="3">
        <v>150</v>
      </c>
      <c r="AC11" s="6">
        <v>4.8638132295719803E-2</v>
      </c>
      <c r="AK11" s="10"/>
      <c r="AL11" s="3" t="s">
        <v>42</v>
      </c>
      <c r="AM11" s="8">
        <v>83979</v>
      </c>
      <c r="AN11" s="6">
        <v>0.25773790707452598</v>
      </c>
      <c r="AO11" s="3">
        <v>528</v>
      </c>
      <c r="AP11" s="6">
        <v>0.34020618556700999</v>
      </c>
      <c r="AR11" s="3" t="s">
        <v>56</v>
      </c>
      <c r="AS11" s="8">
        <v>1325</v>
      </c>
      <c r="AT11" s="6">
        <v>8.0161169324589193E-3</v>
      </c>
      <c r="AU11" s="3">
        <v>18</v>
      </c>
      <c r="AV11" s="7">
        <v>1.41065830721003E-2</v>
      </c>
      <c r="AW11" s="8">
        <v>1680</v>
      </c>
      <c r="AX11" s="6">
        <v>5.1560471532788501E-3</v>
      </c>
      <c r="AY11" s="3">
        <v>6</v>
      </c>
      <c r="AZ11" s="6">
        <v>3.8659793814433E-3</v>
      </c>
      <c r="BA11" s="8">
        <v>427</v>
      </c>
      <c r="BB11" s="6">
        <v>1.1034447114763399E-2</v>
      </c>
      <c r="BC11" s="3">
        <v>0</v>
      </c>
      <c r="BD11" s="6">
        <v>0</v>
      </c>
      <c r="BG11" s="3" t="s">
        <v>7</v>
      </c>
      <c r="BH11" s="3">
        <v>124201</v>
      </c>
      <c r="BI11" s="6">
        <v>0.234421124155374</v>
      </c>
      <c r="BJ11" s="3">
        <v>611</v>
      </c>
      <c r="BK11" s="6">
        <v>0.19811932555123199</v>
      </c>
      <c r="BU11" s="3" t="s">
        <v>15</v>
      </c>
      <c r="BV11" s="3">
        <v>324</v>
      </c>
      <c r="BW11" s="6">
        <v>1.21734491063411E-3</v>
      </c>
      <c r="BX11" s="3">
        <v>1</v>
      </c>
      <c r="BY11" s="6">
        <v>5.7012542759407104E-4</v>
      </c>
      <c r="CB11" s="3" t="s">
        <v>15</v>
      </c>
      <c r="CC11" s="3">
        <v>3827</v>
      </c>
      <c r="CD11" s="6">
        <v>1.45145202092033E-2</v>
      </c>
      <c r="CE11" s="3">
        <v>15</v>
      </c>
      <c r="CF11" s="6">
        <v>1.12781954887218E-2</v>
      </c>
      <c r="CH11" s="9" t="s">
        <v>10</v>
      </c>
      <c r="CI11" s="3" t="s">
        <v>101</v>
      </c>
      <c r="CJ11" s="3">
        <v>8360</v>
      </c>
      <c r="CK11" s="6">
        <v>0.38389126142260199</v>
      </c>
      <c r="CL11" s="3">
        <v>50</v>
      </c>
      <c r="CM11" s="6">
        <v>0.35714285714285698</v>
      </c>
      <c r="CO11" s="9" t="s">
        <v>10</v>
      </c>
      <c r="CP11" s="3" t="s">
        <v>103</v>
      </c>
      <c r="CQ11" s="3">
        <v>12277</v>
      </c>
      <c r="CR11" s="6">
        <v>0.56375993020158899</v>
      </c>
      <c r="CS11" s="3">
        <v>87</v>
      </c>
      <c r="CT11" s="6">
        <v>0.621428571428571</v>
      </c>
      <c r="DD11" s="3" t="s">
        <v>117</v>
      </c>
      <c r="DE11" s="3">
        <v>54868</v>
      </c>
      <c r="DF11" s="6">
        <v>0.10355969952059201</v>
      </c>
      <c r="DG11" s="3">
        <v>254</v>
      </c>
      <c r="DH11" s="6">
        <v>8.2360570687418894E-2</v>
      </c>
    </row>
    <row r="12" spans="1:112" x14ac:dyDescent="0.4">
      <c r="E12" s="3" t="s">
        <v>6</v>
      </c>
      <c r="F12" s="8">
        <v>21243</v>
      </c>
      <c r="G12" s="4">
        <v>4.0094749160092098E-2</v>
      </c>
      <c r="H12" s="3">
        <v>139</v>
      </c>
      <c r="I12" s="4">
        <v>4.5071335927367097E-2</v>
      </c>
      <c r="J12" s="5">
        <f t="shared" si="0"/>
        <v>-4.9765867672749986E-3</v>
      </c>
      <c r="AK12" s="10"/>
      <c r="AL12" s="3" t="s">
        <v>43</v>
      </c>
      <c r="AM12" s="8">
        <v>19468</v>
      </c>
      <c r="AN12" s="6">
        <v>5.9748765464305097E-2</v>
      </c>
      <c r="AO12" s="3">
        <v>173</v>
      </c>
      <c r="AP12" s="6">
        <v>0.111469072164948</v>
      </c>
      <c r="AR12" s="3" t="s">
        <v>57</v>
      </c>
      <c r="AS12" s="8">
        <v>8788</v>
      </c>
      <c r="AT12" s="6">
        <v>5.3166517435810599E-2</v>
      </c>
      <c r="AU12" s="3">
        <v>40</v>
      </c>
      <c r="AV12" s="7">
        <v>3.1347962382445103E-2</v>
      </c>
      <c r="AW12" s="8">
        <v>10808</v>
      </c>
      <c r="AX12" s="6">
        <v>3.3170570019427199E-2</v>
      </c>
      <c r="AY12" s="3">
        <v>46</v>
      </c>
      <c r="AZ12" s="6">
        <v>2.9639175257731999E-2</v>
      </c>
      <c r="BA12" s="8">
        <v>487</v>
      </c>
      <c r="BB12" s="6">
        <v>1.25849549060651E-2</v>
      </c>
      <c r="BC12" s="3">
        <v>0</v>
      </c>
      <c r="BD12" s="6">
        <v>0</v>
      </c>
      <c r="BG12" s="3" t="s">
        <v>6</v>
      </c>
      <c r="BH12" s="3">
        <v>14622</v>
      </c>
      <c r="BI12" s="6">
        <v>2.75980521686611E-2</v>
      </c>
      <c r="BJ12" s="3">
        <v>114</v>
      </c>
      <c r="BK12" s="6">
        <v>3.6964980544747103E-2</v>
      </c>
      <c r="BU12" s="3" t="s">
        <v>7</v>
      </c>
      <c r="BV12" s="3">
        <v>51388</v>
      </c>
      <c r="BW12" s="6">
        <v>0.19307691440637501</v>
      </c>
      <c r="BX12" s="3">
        <v>284</v>
      </c>
      <c r="BY12" s="6">
        <v>0.16191562143671601</v>
      </c>
      <c r="CB12" s="3" t="s">
        <v>7</v>
      </c>
      <c r="CC12" s="3">
        <v>42886</v>
      </c>
      <c r="CD12" s="6">
        <v>0.162652133183144</v>
      </c>
      <c r="CE12" s="3">
        <v>214</v>
      </c>
      <c r="CF12" s="6">
        <v>0.16090225563909799</v>
      </c>
      <c r="CH12" s="9"/>
      <c r="CI12" s="3" t="s">
        <v>102</v>
      </c>
      <c r="CJ12" s="3">
        <v>13417</v>
      </c>
      <c r="CK12" s="6">
        <v>0.61610873857739801</v>
      </c>
      <c r="CL12" s="3">
        <v>90</v>
      </c>
      <c r="CM12" s="6">
        <v>0.64285714285714302</v>
      </c>
      <c r="CO12" s="9"/>
      <c r="CP12" s="3" t="s">
        <v>104</v>
      </c>
      <c r="CQ12" s="3">
        <v>9500</v>
      </c>
      <c r="CR12" s="6">
        <v>0.43624006979841101</v>
      </c>
      <c r="CS12" s="3">
        <v>53</v>
      </c>
      <c r="CT12" s="6">
        <v>0.378571428571429</v>
      </c>
    </row>
    <row r="13" spans="1:112" x14ac:dyDescent="0.4">
      <c r="E13" s="3" t="s">
        <v>22</v>
      </c>
      <c r="F13" s="8">
        <v>22495</v>
      </c>
      <c r="G13" s="4">
        <v>4.2457815861990898E-2</v>
      </c>
      <c r="H13" s="3">
        <v>140</v>
      </c>
      <c r="I13" s="4">
        <v>4.5395590142671902E-2</v>
      </c>
      <c r="J13" s="5">
        <f t="shared" si="0"/>
        <v>-2.9377742806810034E-3</v>
      </c>
      <c r="AK13" s="10"/>
      <c r="AL13" s="3" t="s">
        <v>44</v>
      </c>
      <c r="AM13" s="8">
        <v>36921</v>
      </c>
      <c r="AN13" s="6">
        <v>0.11331334342036201</v>
      </c>
      <c r="AO13" s="3">
        <v>123</v>
      </c>
      <c r="AP13" s="6">
        <v>7.9252577319587597E-2</v>
      </c>
      <c r="AR13" s="3" t="s">
        <v>58</v>
      </c>
      <c r="AS13" s="8">
        <v>3472</v>
      </c>
      <c r="AT13" s="6">
        <v>2.10052513128282E-2</v>
      </c>
      <c r="AU13" s="3">
        <v>43</v>
      </c>
      <c r="AV13" s="7">
        <v>3.3699059561128501E-2</v>
      </c>
      <c r="AW13" s="8">
        <v>8741</v>
      </c>
      <c r="AX13" s="6">
        <v>2.6826790575482401E-2</v>
      </c>
      <c r="AY13" s="3">
        <v>35</v>
      </c>
      <c r="AZ13" s="6">
        <v>2.2551546391752601E-2</v>
      </c>
      <c r="BA13" s="8">
        <v>696</v>
      </c>
      <c r="BB13" s="6">
        <v>1.7985890379099201E-2</v>
      </c>
      <c r="BC13" s="3">
        <v>14</v>
      </c>
      <c r="BD13" s="6">
        <v>5.46875E-2</v>
      </c>
      <c r="BG13" s="3" t="s">
        <v>22</v>
      </c>
      <c r="BH13" s="3">
        <v>15987</v>
      </c>
      <c r="BI13" s="6">
        <v>3.0174398852440502E-2</v>
      </c>
      <c r="BJ13" s="3">
        <v>102</v>
      </c>
      <c r="BK13" s="6">
        <v>3.3073929961089502E-2</v>
      </c>
      <c r="BU13" s="3" t="s">
        <v>6</v>
      </c>
      <c r="BV13" s="3">
        <v>8805</v>
      </c>
      <c r="BW13" s="6">
        <v>3.3082475117695499E-2</v>
      </c>
      <c r="BX13" s="3">
        <v>93</v>
      </c>
      <c r="BY13" s="6">
        <v>5.3021664766248602E-2</v>
      </c>
      <c r="CB13" s="3" t="s">
        <v>6</v>
      </c>
      <c r="CC13" s="3">
        <v>12438</v>
      </c>
      <c r="CD13" s="6">
        <v>4.7173138845589303E-2</v>
      </c>
      <c r="CE13" s="3">
        <v>46</v>
      </c>
      <c r="CF13" s="6">
        <v>3.4586466165413499E-2</v>
      </c>
      <c r="CH13" s="9" t="s">
        <v>12</v>
      </c>
      <c r="CI13" s="3" t="s">
        <v>101</v>
      </c>
      <c r="CJ13" s="3">
        <v>16812</v>
      </c>
      <c r="CK13" s="6">
        <v>0.58915054667788103</v>
      </c>
      <c r="CL13" s="3">
        <v>57</v>
      </c>
      <c r="CM13" s="6">
        <v>0.43181818181818199</v>
      </c>
      <c r="CO13" s="9" t="s">
        <v>12</v>
      </c>
      <c r="CP13" s="3" t="s">
        <v>103</v>
      </c>
      <c r="CQ13" s="3">
        <v>22616</v>
      </c>
      <c r="CR13" s="6">
        <v>0.792542753013737</v>
      </c>
      <c r="CS13" s="3">
        <v>89</v>
      </c>
      <c r="CT13" s="6">
        <v>0.67424242424242398</v>
      </c>
    </row>
    <row r="14" spans="1:112" x14ac:dyDescent="0.4">
      <c r="E14" s="3" t="s">
        <v>21</v>
      </c>
      <c r="F14" s="8">
        <v>34153</v>
      </c>
      <c r="G14" s="4">
        <v>6.4461515231588107E-2</v>
      </c>
      <c r="H14" s="3">
        <v>234</v>
      </c>
      <c r="I14" s="4">
        <v>7.5875486381323007E-2</v>
      </c>
      <c r="J14" s="5">
        <f t="shared" si="0"/>
        <v>-1.14139711497349E-2</v>
      </c>
      <c r="AK14" s="10"/>
      <c r="AL14" s="3" t="s">
        <v>45</v>
      </c>
      <c r="AM14" s="8">
        <v>88711</v>
      </c>
      <c r="AN14" s="6">
        <v>0.27226077322292802</v>
      </c>
      <c r="AO14" s="3">
        <v>261</v>
      </c>
      <c r="AP14" s="6">
        <v>0.16817010309278399</v>
      </c>
      <c r="AR14" s="3" t="s">
        <v>59</v>
      </c>
      <c r="AS14" s="8">
        <v>185</v>
      </c>
      <c r="AT14" s="6">
        <v>1.1192314207584199E-3</v>
      </c>
      <c r="AU14" s="3">
        <v>2</v>
      </c>
      <c r="AV14" s="7">
        <v>1.56739811912226E-3</v>
      </c>
      <c r="AW14" s="8">
        <v>3096</v>
      </c>
      <c r="AX14" s="6">
        <v>9.5018583253281604E-3</v>
      </c>
      <c r="AY14" s="3">
        <v>22</v>
      </c>
      <c r="AZ14" s="6">
        <v>1.4175257731958799E-2</v>
      </c>
      <c r="BA14" s="8">
        <v>585</v>
      </c>
      <c r="BB14" s="6">
        <v>1.51174509651911E-2</v>
      </c>
      <c r="BC14" s="3">
        <v>6</v>
      </c>
      <c r="BD14" s="6">
        <v>2.34375E-2</v>
      </c>
      <c r="BG14" s="3" t="s">
        <v>21</v>
      </c>
      <c r="BH14" s="3">
        <v>18260</v>
      </c>
      <c r="BI14" s="6">
        <v>3.4464535125136801E-2</v>
      </c>
      <c r="BJ14" s="3">
        <v>88</v>
      </c>
      <c r="BK14" s="6">
        <v>2.8534370946822301E-2</v>
      </c>
      <c r="BU14" s="3" t="s">
        <v>22</v>
      </c>
      <c r="BV14" s="3">
        <v>8757</v>
      </c>
      <c r="BW14" s="6">
        <v>3.2902127723527401E-2</v>
      </c>
      <c r="BX14" s="3">
        <v>58</v>
      </c>
      <c r="BY14" s="6">
        <v>3.3067274800456098E-2</v>
      </c>
      <c r="CB14" s="3" t="s">
        <v>22</v>
      </c>
      <c r="CC14" s="3">
        <v>13738</v>
      </c>
      <c r="CD14" s="6">
        <v>5.2103600374715099E-2</v>
      </c>
      <c r="CE14" s="3">
        <v>82</v>
      </c>
      <c r="CF14" s="6">
        <v>6.1654135338345899E-2</v>
      </c>
      <c r="CH14" s="9"/>
      <c r="CI14" s="3" t="s">
        <v>102</v>
      </c>
      <c r="CJ14" s="3">
        <v>11724</v>
      </c>
      <c r="CK14" s="6">
        <v>0.41084945332211897</v>
      </c>
      <c r="CL14" s="3">
        <v>75</v>
      </c>
      <c r="CM14" s="6">
        <v>0.56818181818181801</v>
      </c>
      <c r="CO14" s="9"/>
      <c r="CP14" s="3" t="s">
        <v>104</v>
      </c>
      <c r="CQ14" s="3">
        <v>5920</v>
      </c>
      <c r="CR14" s="6">
        <v>0.207457246986263</v>
      </c>
      <c r="CS14" s="3">
        <v>43</v>
      </c>
      <c r="CT14" s="6">
        <v>0.32575757575757602</v>
      </c>
    </row>
    <row r="15" spans="1:112" x14ac:dyDescent="0.4">
      <c r="E15" s="3" t="s">
        <v>19</v>
      </c>
      <c r="F15" s="8">
        <v>22152</v>
      </c>
      <c r="G15" s="4">
        <v>4.1810426182477101E-2</v>
      </c>
      <c r="H15" s="3">
        <v>190</v>
      </c>
      <c r="I15" s="4">
        <v>6.1608300907911799E-2</v>
      </c>
      <c r="J15" s="5">
        <f t="shared" si="0"/>
        <v>-1.9797874725434698E-2</v>
      </c>
      <c r="AK15" s="10"/>
      <c r="AL15" s="3" t="s">
        <v>46</v>
      </c>
      <c r="AM15" s="8">
        <v>25302</v>
      </c>
      <c r="AN15" s="6">
        <v>7.7653753019203201E-2</v>
      </c>
      <c r="AO15" s="3">
        <v>58</v>
      </c>
      <c r="AP15" s="6">
        <v>3.7371134020618597E-2</v>
      </c>
      <c r="AR15" s="3" t="s">
        <v>60</v>
      </c>
      <c r="AS15" s="8">
        <v>226</v>
      </c>
      <c r="AT15" s="6">
        <v>1.3672773031967701E-3</v>
      </c>
      <c r="AU15" s="3">
        <v>1</v>
      </c>
      <c r="AV15" s="7">
        <v>7.8369905956112795E-4</v>
      </c>
      <c r="AW15" s="8">
        <v>4102</v>
      </c>
      <c r="AX15" s="6">
        <v>1.25893484659225E-2</v>
      </c>
      <c r="AY15" s="3">
        <v>26</v>
      </c>
      <c r="AZ15" s="6">
        <v>1.6752577319587601E-2</v>
      </c>
      <c r="BA15" s="8">
        <v>461</v>
      </c>
      <c r="BB15" s="6">
        <v>1.1913068196501E-2</v>
      </c>
      <c r="BC15" s="3">
        <v>11</v>
      </c>
      <c r="BD15" s="6">
        <v>4.296875E-2</v>
      </c>
      <c r="BG15" s="3" t="s">
        <v>19</v>
      </c>
      <c r="BH15" s="3">
        <v>19912</v>
      </c>
      <c r="BI15" s="6">
        <v>3.7582575214223701E-2</v>
      </c>
      <c r="BJ15" s="3">
        <v>180</v>
      </c>
      <c r="BK15" s="6">
        <v>5.83657587548638E-2</v>
      </c>
      <c r="BU15" s="3" t="s">
        <v>21</v>
      </c>
      <c r="BV15" s="3">
        <v>7961</v>
      </c>
      <c r="BW15" s="6">
        <v>2.9911366770241199E-2</v>
      </c>
      <c r="BX15" s="3">
        <v>51</v>
      </c>
      <c r="BY15" s="6">
        <v>2.9076396807297601E-2</v>
      </c>
      <c r="CB15" s="3" t="s">
        <v>21</v>
      </c>
      <c r="CC15" s="3">
        <v>26192</v>
      </c>
      <c r="CD15" s="6">
        <v>9.9337421823739794E-2</v>
      </c>
      <c r="CE15" s="3">
        <v>183</v>
      </c>
      <c r="CF15" s="6">
        <v>0.13759398496240599</v>
      </c>
      <c r="CH15" s="9" t="s">
        <v>16</v>
      </c>
      <c r="CI15" s="3" t="s">
        <v>101</v>
      </c>
      <c r="CJ15" s="3">
        <v>2730</v>
      </c>
      <c r="CK15" s="6">
        <v>0.39691770863623099</v>
      </c>
      <c r="CL15" s="3">
        <v>8</v>
      </c>
      <c r="CM15" s="6">
        <v>0.36363636363636398</v>
      </c>
      <c r="CO15" s="9" t="s">
        <v>16</v>
      </c>
      <c r="CP15" s="3" t="s">
        <v>103</v>
      </c>
      <c r="CQ15" s="3">
        <v>3382</v>
      </c>
      <c r="CR15" s="6">
        <v>0.49171270718232002</v>
      </c>
      <c r="CS15" s="3">
        <v>11</v>
      </c>
      <c r="CT15" s="6">
        <v>0.5</v>
      </c>
    </row>
    <row r="16" spans="1:112" x14ac:dyDescent="0.4">
      <c r="E16" s="3" t="s">
        <v>18</v>
      </c>
      <c r="F16" s="8">
        <v>14762</v>
      </c>
      <c r="G16" s="4">
        <v>2.78622928541769E-2</v>
      </c>
      <c r="H16" s="3">
        <v>182</v>
      </c>
      <c r="I16" s="4">
        <v>5.9014267185473403E-2</v>
      </c>
      <c r="J16" s="5">
        <f t="shared" si="0"/>
        <v>-3.1151974331296503E-2</v>
      </c>
      <c r="AK16" s="10"/>
      <c r="AL16" s="3" t="s">
        <v>47</v>
      </c>
      <c r="AM16" s="8">
        <v>35498</v>
      </c>
      <c r="AN16" s="6">
        <v>0.10894604871850699</v>
      </c>
      <c r="AO16" s="3">
        <v>183</v>
      </c>
      <c r="AP16" s="6">
        <v>0.117912371134021</v>
      </c>
      <c r="AR16" s="3" t="s">
        <v>61</v>
      </c>
      <c r="AS16" s="8">
        <v>18367</v>
      </c>
      <c r="AT16" s="6">
        <v>0.11111850543281</v>
      </c>
      <c r="AU16" s="3">
        <v>544</v>
      </c>
      <c r="AV16" s="7">
        <v>0.42633228840125398</v>
      </c>
      <c r="AW16" s="8">
        <v>30083</v>
      </c>
      <c r="AX16" s="6">
        <v>9.2327003876242597E-2</v>
      </c>
      <c r="AY16" s="3">
        <v>324</v>
      </c>
      <c r="AZ16" s="6">
        <v>0.20876288659793801</v>
      </c>
      <c r="BA16" s="8">
        <v>1912</v>
      </c>
      <c r="BB16" s="6">
        <v>4.9409514949479302E-2</v>
      </c>
      <c r="BC16" s="3">
        <v>23</v>
      </c>
      <c r="BD16" s="6">
        <v>8.984375E-2</v>
      </c>
      <c r="BG16" s="3" t="s">
        <v>18</v>
      </c>
      <c r="BH16" s="3">
        <v>17691</v>
      </c>
      <c r="BI16" s="6">
        <v>3.3390585481861801E-2</v>
      </c>
      <c r="BJ16" s="3">
        <v>156</v>
      </c>
      <c r="BK16" s="6">
        <v>5.0583657587548597E-2</v>
      </c>
      <c r="BU16" s="3" t="s">
        <v>19</v>
      </c>
      <c r="BV16" s="3">
        <v>13859</v>
      </c>
      <c r="BW16" s="6">
        <v>5.2071552828636201E-2</v>
      </c>
      <c r="BX16" s="3">
        <v>144</v>
      </c>
      <c r="BY16" s="6">
        <v>8.2098061573546197E-2</v>
      </c>
      <c r="CB16" s="3" t="s">
        <v>19</v>
      </c>
      <c r="CC16" s="3">
        <v>8293</v>
      </c>
      <c r="CD16" s="6">
        <v>3.1452551893107597E-2</v>
      </c>
      <c r="CE16" s="3">
        <v>46</v>
      </c>
      <c r="CF16" s="6">
        <v>3.4586466165413499E-2</v>
      </c>
      <c r="CH16" s="9"/>
      <c r="CI16" s="3" t="s">
        <v>102</v>
      </c>
      <c r="CJ16" s="3">
        <v>4148</v>
      </c>
      <c r="CK16" s="6">
        <v>0.60308229136376901</v>
      </c>
      <c r="CL16" s="3">
        <v>14</v>
      </c>
      <c r="CM16" s="6">
        <v>0.63636363636363602</v>
      </c>
      <c r="CO16" s="9"/>
      <c r="CP16" s="3" t="s">
        <v>104</v>
      </c>
      <c r="CQ16" s="3">
        <v>3496</v>
      </c>
      <c r="CR16" s="6">
        <v>0.50828729281768004</v>
      </c>
      <c r="CS16" s="3">
        <v>11</v>
      </c>
      <c r="CT16" s="6">
        <v>0.5</v>
      </c>
    </row>
    <row r="17" spans="5:98" x14ac:dyDescent="0.4">
      <c r="E17" s="3" t="s">
        <v>9</v>
      </c>
      <c r="F17" s="8">
        <v>36530</v>
      </c>
      <c r="G17" s="4">
        <v>6.8947944584953402E-2</v>
      </c>
      <c r="H17" s="3">
        <v>332</v>
      </c>
      <c r="I17" s="4">
        <v>0.107652399481193</v>
      </c>
      <c r="J17" s="5">
        <f t="shared" si="0"/>
        <v>-3.8704454896239596E-2</v>
      </c>
      <c r="AK17" s="10" t="s">
        <v>90</v>
      </c>
      <c r="AL17" s="3" t="s">
        <v>41</v>
      </c>
      <c r="AM17" s="8">
        <v>3781</v>
      </c>
      <c r="AN17" s="6">
        <v>9.77078326485257E-2</v>
      </c>
      <c r="AO17" s="3">
        <v>46</v>
      </c>
      <c r="AP17" s="6">
        <v>0.1796875</v>
      </c>
      <c r="AR17" s="3" t="s">
        <v>62</v>
      </c>
      <c r="AS17" s="8">
        <v>670</v>
      </c>
      <c r="AT17" s="6">
        <v>4.0534327130169598E-3</v>
      </c>
      <c r="AU17" s="3">
        <v>0</v>
      </c>
      <c r="AV17" s="7">
        <v>0</v>
      </c>
      <c r="AW17" s="8">
        <v>3543</v>
      </c>
      <c r="AX17" s="6">
        <v>1.08737351571827E-2</v>
      </c>
      <c r="AY17" s="3">
        <v>6</v>
      </c>
      <c r="AZ17" s="6">
        <v>3.8659793814433E-3</v>
      </c>
      <c r="BA17" s="8">
        <v>467</v>
      </c>
      <c r="BB17" s="6">
        <v>1.20681189756312E-2</v>
      </c>
      <c r="BC17" s="3">
        <v>0</v>
      </c>
      <c r="BD17" s="6">
        <v>0</v>
      </c>
      <c r="BG17" s="3" t="s">
        <v>9</v>
      </c>
      <c r="BH17" s="3">
        <v>25162</v>
      </c>
      <c r="BI17" s="6">
        <v>4.7491600921067502E-2</v>
      </c>
      <c r="BJ17" s="3">
        <v>216</v>
      </c>
      <c r="BK17" s="6">
        <v>7.0038910505836605E-2</v>
      </c>
      <c r="BU17" s="3" t="s">
        <v>18</v>
      </c>
      <c r="BV17" s="3">
        <v>7999</v>
      </c>
      <c r="BW17" s="6">
        <v>3.0054141790624201E-2</v>
      </c>
      <c r="BX17" s="3">
        <v>112</v>
      </c>
      <c r="BY17" s="6">
        <v>6.3854047890535906E-2</v>
      </c>
      <c r="CB17" s="3" t="s">
        <v>18</v>
      </c>
      <c r="CC17" s="3">
        <v>6763</v>
      </c>
      <c r="CD17" s="6">
        <v>2.5649777939598099E-2</v>
      </c>
      <c r="CE17" s="3">
        <v>70</v>
      </c>
      <c r="CF17" s="6">
        <v>5.2631578947368397E-2</v>
      </c>
      <c r="CH17" s="9" t="s">
        <v>15</v>
      </c>
      <c r="CI17" s="3" t="s">
        <v>101</v>
      </c>
      <c r="CJ17" s="3">
        <v>3827</v>
      </c>
      <c r="CK17" s="6">
        <v>0.92194651891110602</v>
      </c>
      <c r="CL17" s="3">
        <v>15</v>
      </c>
      <c r="CM17" s="6">
        <v>0.9375</v>
      </c>
      <c r="CO17" s="9" t="s">
        <v>15</v>
      </c>
      <c r="CP17" s="3" t="s">
        <v>103</v>
      </c>
      <c r="CQ17" s="3">
        <v>3901</v>
      </c>
      <c r="CR17" s="6">
        <v>0.93977354854252004</v>
      </c>
      <c r="CS17" s="3">
        <v>14</v>
      </c>
      <c r="CT17" s="6">
        <v>0.875</v>
      </c>
    </row>
    <row r="18" spans="5:98" x14ac:dyDescent="0.4">
      <c r="E18" s="3" t="s">
        <v>8</v>
      </c>
      <c r="F18" s="8">
        <v>22936</v>
      </c>
      <c r="G18" s="4">
        <v>4.3290174021365799E-2</v>
      </c>
      <c r="H18" s="3">
        <v>166</v>
      </c>
      <c r="I18" s="4">
        <v>5.3826199740596603E-2</v>
      </c>
      <c r="J18" s="5">
        <f t="shared" si="0"/>
        <v>-1.0536025719230804E-2</v>
      </c>
      <c r="AK18" s="10"/>
      <c r="AL18" s="3" t="s">
        <v>42</v>
      </c>
      <c r="AM18" s="8">
        <v>5401</v>
      </c>
      <c r="AN18" s="6">
        <v>0.13957154301367</v>
      </c>
      <c r="AO18" s="3">
        <v>60</v>
      </c>
      <c r="AP18" s="6">
        <v>0.234375</v>
      </c>
      <c r="AR18" s="3" t="s">
        <v>63</v>
      </c>
      <c r="AS18" s="8">
        <v>2088</v>
      </c>
      <c r="AT18" s="6">
        <v>1.2632190305640899E-2</v>
      </c>
      <c r="AU18" s="3">
        <v>11</v>
      </c>
      <c r="AV18" s="7">
        <v>8.6206896551724102E-3</v>
      </c>
      <c r="AW18" s="8">
        <v>17770</v>
      </c>
      <c r="AX18" s="6">
        <v>5.4537474948669701E-2</v>
      </c>
      <c r="AY18" s="3">
        <v>61</v>
      </c>
      <c r="AZ18" s="6">
        <v>3.9304123711340198E-2</v>
      </c>
      <c r="BA18" s="8">
        <v>4418</v>
      </c>
      <c r="BB18" s="6">
        <v>0.11416905703284499</v>
      </c>
      <c r="BC18" s="3">
        <v>15</v>
      </c>
      <c r="BD18" s="6">
        <v>5.859375E-2</v>
      </c>
      <c r="BG18" s="3" t="s">
        <v>8</v>
      </c>
      <c r="BH18" s="3">
        <v>33445</v>
      </c>
      <c r="BI18" s="6">
        <v>6.3125212336265099E-2</v>
      </c>
      <c r="BJ18" s="3">
        <v>217</v>
      </c>
      <c r="BK18" s="6">
        <v>7.0363164721141402E-2</v>
      </c>
      <c r="BU18" s="3" t="s">
        <v>9</v>
      </c>
      <c r="BV18" s="3">
        <v>13177</v>
      </c>
      <c r="BW18" s="6">
        <v>4.9509116936498898E-2</v>
      </c>
      <c r="BX18" s="3">
        <v>161</v>
      </c>
      <c r="BY18" s="6">
        <v>9.1790193842645404E-2</v>
      </c>
      <c r="CB18" s="3" t="s">
        <v>9</v>
      </c>
      <c r="CC18" s="3">
        <v>23353</v>
      </c>
      <c r="CD18" s="6">
        <v>8.8570052376672107E-2</v>
      </c>
      <c r="CE18" s="3">
        <v>171</v>
      </c>
      <c r="CF18" s="6">
        <v>0.128571428571429</v>
      </c>
      <c r="CH18" s="9"/>
      <c r="CI18" s="3" t="s">
        <v>102</v>
      </c>
      <c r="CJ18" s="3">
        <v>324</v>
      </c>
      <c r="CK18" s="6">
        <v>7.8053481088894205E-2</v>
      </c>
      <c r="CL18" s="3">
        <v>1</v>
      </c>
      <c r="CM18" s="6">
        <v>6.25E-2</v>
      </c>
      <c r="CO18" s="9"/>
      <c r="CP18" s="3" t="s">
        <v>104</v>
      </c>
      <c r="CQ18" s="3">
        <v>250</v>
      </c>
      <c r="CR18" s="6">
        <v>6.0226451457480103E-2</v>
      </c>
      <c r="CS18" s="3">
        <v>2</v>
      </c>
      <c r="CT18" s="6">
        <v>0.125</v>
      </c>
    </row>
    <row r="19" spans="5:98" x14ac:dyDescent="0.4">
      <c r="E19" s="3" t="s">
        <v>20</v>
      </c>
      <c r="F19" s="8">
        <v>4640</v>
      </c>
      <c r="G19" s="4">
        <v>8.7576912913819808E-3</v>
      </c>
      <c r="H19" s="3">
        <v>44</v>
      </c>
      <c r="I19" s="4">
        <v>1.4267185473411201E-2</v>
      </c>
      <c r="J19" s="5">
        <f t="shared" si="0"/>
        <v>-5.50949418202922E-3</v>
      </c>
      <c r="AK19" s="10"/>
      <c r="AL19" s="3" t="s">
        <v>43</v>
      </c>
      <c r="AM19" s="8">
        <v>2295</v>
      </c>
      <c r="AN19" s="6">
        <v>5.9306923017288203E-2</v>
      </c>
      <c r="AO19" s="3">
        <v>17</v>
      </c>
      <c r="AP19" s="6">
        <v>6.640625E-2</v>
      </c>
      <c r="AR19" s="3" t="s">
        <v>64</v>
      </c>
      <c r="AS19" s="8">
        <v>9377</v>
      </c>
      <c r="AT19" s="6">
        <v>5.67299082835225E-2</v>
      </c>
      <c r="AU19" s="3">
        <v>77</v>
      </c>
      <c r="AV19" s="7">
        <v>6.0344827586206899E-2</v>
      </c>
      <c r="AW19" s="8">
        <v>9628</v>
      </c>
      <c r="AX19" s="6">
        <v>2.9549060709386201E-2</v>
      </c>
      <c r="AY19" s="3">
        <v>28</v>
      </c>
      <c r="AZ19" s="6">
        <v>1.8041237113402098E-2</v>
      </c>
      <c r="BA19" s="8">
        <v>953</v>
      </c>
      <c r="BB19" s="6">
        <v>2.4627232085174599E-2</v>
      </c>
      <c r="BC19" s="3">
        <v>4</v>
      </c>
      <c r="BD19" s="6">
        <v>1.5625E-2</v>
      </c>
      <c r="BG19" s="3" t="s">
        <v>20</v>
      </c>
      <c r="BH19" s="3">
        <v>5660</v>
      </c>
      <c r="BI19" s="6">
        <v>1.06828734287116E-2</v>
      </c>
      <c r="BJ19" s="3">
        <v>45</v>
      </c>
      <c r="BK19" s="6">
        <v>1.4591439688716E-2</v>
      </c>
      <c r="BU19" s="3" t="s">
        <v>8</v>
      </c>
      <c r="BV19" s="3">
        <v>16265</v>
      </c>
      <c r="BW19" s="6">
        <v>6.1111465961308002E-2</v>
      </c>
      <c r="BX19" s="3">
        <v>144</v>
      </c>
      <c r="BY19" s="6">
        <v>8.2098061573546197E-2</v>
      </c>
      <c r="CB19" s="3" t="s">
        <v>8</v>
      </c>
      <c r="CC19" s="3">
        <v>6671</v>
      </c>
      <c r="CD19" s="6">
        <v>2.5300852969844499E-2</v>
      </c>
      <c r="CE19" s="3">
        <v>22</v>
      </c>
      <c r="CF19" s="6">
        <v>1.65413533834586E-2</v>
      </c>
      <c r="CH19" s="9" t="s">
        <v>7</v>
      </c>
      <c r="CI19" s="3" t="s">
        <v>101</v>
      </c>
      <c r="CJ19" s="3">
        <v>42886</v>
      </c>
      <c r="CK19" s="6">
        <v>0.45490803402847002</v>
      </c>
      <c r="CL19" s="3">
        <v>214</v>
      </c>
      <c r="CM19" s="6">
        <v>0.42971887550200799</v>
      </c>
      <c r="CO19" s="9" t="s">
        <v>7</v>
      </c>
      <c r="CP19" s="3" t="s">
        <v>103</v>
      </c>
      <c r="CQ19" s="3">
        <v>55976</v>
      </c>
      <c r="CR19" s="6">
        <v>0.59375861849502498</v>
      </c>
      <c r="CS19" s="3">
        <v>316</v>
      </c>
      <c r="CT19" s="6">
        <v>0.634538152610442</v>
      </c>
    </row>
    <row r="20" spans="5:98" x14ac:dyDescent="0.4">
      <c r="AK20" s="10"/>
      <c r="AL20" s="3" t="s">
        <v>44</v>
      </c>
      <c r="AM20" s="8">
        <v>7129</v>
      </c>
      <c r="AN20" s="6">
        <v>0.184226167403158</v>
      </c>
      <c r="AO20" s="3">
        <v>24</v>
      </c>
      <c r="AP20" s="6">
        <v>9.375E-2</v>
      </c>
      <c r="AR20" s="3" t="s">
        <v>65</v>
      </c>
      <c r="AS20" s="8">
        <v>522</v>
      </c>
      <c r="AT20" s="6">
        <v>3.1580475764102301E-3</v>
      </c>
      <c r="AU20" s="3">
        <v>1</v>
      </c>
      <c r="AV20" s="7">
        <v>7.8369905956112795E-4</v>
      </c>
      <c r="AW20" s="8">
        <v>6593</v>
      </c>
      <c r="AX20" s="6">
        <v>2.0234416000932998E-2</v>
      </c>
      <c r="AY20" s="3">
        <v>15</v>
      </c>
      <c r="AZ20" s="6">
        <v>9.6649484536082495E-3</v>
      </c>
      <c r="BA20" s="8">
        <v>1431</v>
      </c>
      <c r="BB20" s="6">
        <v>3.6979610822544397E-2</v>
      </c>
      <c r="BC20" s="3">
        <v>9</v>
      </c>
      <c r="BD20" s="6">
        <v>3.515625E-2</v>
      </c>
      <c r="BG20" s="3" t="s">
        <v>93</v>
      </c>
      <c r="BH20" s="3">
        <v>10599</v>
      </c>
      <c r="BI20" s="6">
        <v>2.0004907327016701E-2</v>
      </c>
      <c r="BJ20" s="3">
        <v>42</v>
      </c>
      <c r="BK20" s="6">
        <v>1.36186770428016E-2</v>
      </c>
      <c r="BU20" s="3" t="s">
        <v>20</v>
      </c>
      <c r="BV20" s="3">
        <v>3774</v>
      </c>
      <c r="BW20" s="6">
        <v>1.4179813866460301E-2</v>
      </c>
      <c r="BX20" s="3">
        <v>39</v>
      </c>
      <c r="BY20" s="6">
        <v>2.2234891676168801E-2</v>
      </c>
      <c r="CB20" s="3" t="s">
        <v>20</v>
      </c>
      <c r="CC20" s="3">
        <v>866</v>
      </c>
      <c r="CD20" s="6">
        <v>3.2844459109406901E-3</v>
      </c>
      <c r="CE20" s="3">
        <v>5</v>
      </c>
      <c r="CF20" s="6">
        <v>3.7593984962406E-3</v>
      </c>
      <c r="CH20" s="9"/>
      <c r="CI20" s="3" t="s">
        <v>102</v>
      </c>
      <c r="CJ20" s="3">
        <v>51388</v>
      </c>
      <c r="CK20" s="6">
        <v>0.54509196597152998</v>
      </c>
      <c r="CL20" s="3">
        <v>284</v>
      </c>
      <c r="CM20" s="6">
        <v>0.57028112449799195</v>
      </c>
      <c r="CO20" s="9"/>
      <c r="CP20" s="3" t="s">
        <v>104</v>
      </c>
      <c r="CQ20" s="3">
        <v>38298</v>
      </c>
      <c r="CR20" s="6">
        <v>0.40624138150497502</v>
      </c>
      <c r="CS20" s="3">
        <v>182</v>
      </c>
      <c r="CT20" s="6">
        <v>0.365461847389558</v>
      </c>
    </row>
    <row r="21" spans="5:98" x14ac:dyDescent="0.4">
      <c r="AK21" s="10"/>
      <c r="AL21" s="3" t="s">
        <v>45</v>
      </c>
      <c r="AM21" s="8">
        <v>12120</v>
      </c>
      <c r="AN21" s="6">
        <v>0.31320257384293398</v>
      </c>
      <c r="AO21" s="3">
        <v>51</v>
      </c>
      <c r="AP21" s="6">
        <v>0.19921875</v>
      </c>
      <c r="AR21" s="3" t="s">
        <v>66</v>
      </c>
      <c r="AS21" s="8">
        <v>107</v>
      </c>
      <c r="AT21" s="6">
        <v>6.4733925416838103E-4</v>
      </c>
      <c r="AU21" s="3">
        <v>4</v>
      </c>
      <c r="AV21" s="7">
        <v>3.1347962382445101E-3</v>
      </c>
      <c r="AW21" s="8">
        <v>7843</v>
      </c>
      <c r="AX21" s="6">
        <v>2.4070760609027401E-2</v>
      </c>
      <c r="AY21" s="3">
        <v>28</v>
      </c>
      <c r="AZ21" s="6">
        <v>1.8041237113402098E-2</v>
      </c>
      <c r="BA21" s="8">
        <v>1331</v>
      </c>
      <c r="BB21" s="6">
        <v>3.4395431170375003E-2</v>
      </c>
      <c r="BC21" s="3">
        <v>5</v>
      </c>
      <c r="BD21" s="6">
        <v>1.953125E-2</v>
      </c>
      <c r="CH21" s="9" t="s">
        <v>6</v>
      </c>
      <c r="CI21" s="3" t="s">
        <v>101</v>
      </c>
      <c r="CJ21" s="3">
        <v>12438</v>
      </c>
      <c r="CK21" s="6">
        <v>0.58551052111283697</v>
      </c>
      <c r="CL21" s="3">
        <v>46</v>
      </c>
      <c r="CM21" s="6">
        <v>0.33093525179856098</v>
      </c>
      <c r="CO21" s="9" t="s">
        <v>6</v>
      </c>
      <c r="CP21" s="3" t="s">
        <v>103</v>
      </c>
      <c r="CQ21" s="3">
        <v>14368</v>
      </c>
      <c r="CR21" s="6">
        <v>0.67636397872240295</v>
      </c>
      <c r="CS21" s="3">
        <v>76</v>
      </c>
      <c r="CT21" s="6">
        <v>0.54676258992805804</v>
      </c>
    </row>
    <row r="22" spans="5:98" x14ac:dyDescent="0.4">
      <c r="AK22" s="10"/>
      <c r="AL22" s="3" t="s">
        <v>46</v>
      </c>
      <c r="AM22" s="8">
        <v>4905</v>
      </c>
      <c r="AN22" s="6">
        <v>0.12675401193891001</v>
      </c>
      <c r="AO22" s="3">
        <v>29</v>
      </c>
      <c r="AP22" s="6">
        <v>0.11328125</v>
      </c>
      <c r="AR22" s="3"/>
      <c r="AS22" s="8"/>
      <c r="AT22" s="6"/>
      <c r="AU22" s="3"/>
      <c r="AV22" s="7"/>
      <c r="AW22" s="8">
        <v>1954</v>
      </c>
      <c r="AX22" s="6">
        <v>5.9969738913731403E-3</v>
      </c>
      <c r="AY22" s="3">
        <v>5</v>
      </c>
      <c r="AZ22" s="6">
        <v>3.2216494845360801E-3</v>
      </c>
      <c r="BA22" s="8">
        <v>570</v>
      </c>
      <c r="BB22" s="6">
        <v>1.47298240173657E-2</v>
      </c>
      <c r="BC22" s="3">
        <v>5</v>
      </c>
      <c r="BD22" s="6">
        <v>1.953125E-2</v>
      </c>
      <c r="CH22" s="9"/>
      <c r="CI22" s="3" t="s">
        <v>102</v>
      </c>
      <c r="CJ22" s="3">
        <v>8805</v>
      </c>
      <c r="CK22" s="6">
        <v>0.41448947888716298</v>
      </c>
      <c r="CL22" s="3">
        <v>93</v>
      </c>
      <c r="CM22" s="6">
        <v>0.66906474820143902</v>
      </c>
      <c r="CO22" s="9"/>
      <c r="CP22" s="3" t="s">
        <v>104</v>
      </c>
      <c r="CQ22" s="3">
        <v>6875</v>
      </c>
      <c r="CR22" s="6">
        <v>0.323636021277597</v>
      </c>
      <c r="CS22" s="3">
        <v>63</v>
      </c>
      <c r="CT22" s="6">
        <v>0.45323741007194202</v>
      </c>
    </row>
    <row r="23" spans="5:98" x14ac:dyDescent="0.4">
      <c r="AK23" s="10"/>
      <c r="AL23" s="3" t="s">
        <v>47</v>
      </c>
      <c r="AM23" s="8">
        <v>3066</v>
      </c>
      <c r="AN23" s="6">
        <v>7.9230948135514401E-2</v>
      </c>
      <c r="AO23" s="3">
        <v>29</v>
      </c>
      <c r="AP23" s="6">
        <v>0.11328125</v>
      </c>
      <c r="AR23" s="3" t="s">
        <v>67</v>
      </c>
      <c r="AS23" s="8">
        <v>3114</v>
      </c>
      <c r="AT23" s="6">
        <v>1.88393872661714E-2</v>
      </c>
      <c r="AU23" s="3">
        <v>13</v>
      </c>
      <c r="AV23" s="7">
        <v>1.01880877742947E-2</v>
      </c>
      <c r="AW23" s="8">
        <v>21969</v>
      </c>
      <c r="AX23" s="6">
        <v>6.7424523756180396E-2</v>
      </c>
      <c r="AY23" s="3">
        <v>91</v>
      </c>
      <c r="AZ23" s="6">
        <v>5.8634020618556701E-2</v>
      </c>
      <c r="BA23" s="8">
        <v>1027</v>
      </c>
      <c r="BB23" s="6">
        <v>2.6539525027779901E-2</v>
      </c>
      <c r="BC23" s="3">
        <v>10</v>
      </c>
      <c r="BD23" s="6">
        <v>3.90625E-2</v>
      </c>
      <c r="CH23" s="9" t="s">
        <v>22</v>
      </c>
      <c r="CI23" s="3" t="s">
        <v>101</v>
      </c>
      <c r="CJ23" s="3">
        <v>13738</v>
      </c>
      <c r="CK23" s="6">
        <v>0.61071349188708601</v>
      </c>
      <c r="CL23" s="3">
        <v>82</v>
      </c>
      <c r="CM23" s="6">
        <v>0.58571428571428596</v>
      </c>
      <c r="CO23" s="9" t="s">
        <v>22</v>
      </c>
      <c r="CP23" s="3" t="s">
        <v>103</v>
      </c>
      <c r="CQ23" s="3">
        <v>16253</v>
      </c>
      <c r="CR23" s="6">
        <v>0.72251611469215404</v>
      </c>
      <c r="CS23" s="3">
        <v>102</v>
      </c>
      <c r="CT23" s="6">
        <v>0.72857142857142898</v>
      </c>
    </row>
    <row r="24" spans="5:98" x14ac:dyDescent="0.4">
      <c r="AR24" s="3" t="s">
        <v>68</v>
      </c>
      <c r="AS24" s="8">
        <v>1153</v>
      </c>
      <c r="AT24" s="6">
        <v>6.9755342061321801E-3</v>
      </c>
      <c r="AU24" s="3">
        <v>1</v>
      </c>
      <c r="AV24" s="7">
        <v>7.8369905956112795E-4</v>
      </c>
      <c r="AW24" s="8">
        <v>2037</v>
      </c>
      <c r="AX24" s="6">
        <v>6.2517071733505999E-3</v>
      </c>
      <c r="AY24" s="3">
        <v>11</v>
      </c>
      <c r="AZ24" s="6">
        <v>7.0876288659793797E-3</v>
      </c>
      <c r="BA24" s="8">
        <v>32</v>
      </c>
      <c r="BB24" s="6">
        <v>8.2693748869421403E-4</v>
      </c>
      <c r="BC24" s="3">
        <v>0</v>
      </c>
      <c r="BD24" s="6">
        <v>0</v>
      </c>
      <c r="CH24" s="9"/>
      <c r="CI24" s="3" t="s">
        <v>102</v>
      </c>
      <c r="CJ24" s="3">
        <v>8757</v>
      </c>
      <c r="CK24" s="6">
        <v>0.38928650811291399</v>
      </c>
      <c r="CL24" s="3">
        <v>58</v>
      </c>
      <c r="CM24" s="6">
        <v>0.41428571428571398</v>
      </c>
      <c r="CO24" s="9"/>
      <c r="CP24" s="3" t="s">
        <v>104</v>
      </c>
      <c r="CQ24" s="3">
        <v>6242</v>
      </c>
      <c r="CR24" s="6">
        <v>0.27748388530784601</v>
      </c>
      <c r="CS24" s="3">
        <v>38</v>
      </c>
      <c r="CT24" s="6">
        <v>0.27142857142857102</v>
      </c>
    </row>
    <row r="25" spans="5:98" x14ac:dyDescent="0.4">
      <c r="AR25" s="3" t="s">
        <v>69</v>
      </c>
      <c r="AS25" s="8">
        <v>9454</v>
      </c>
      <c r="AT25" s="6">
        <v>5.7195750550540901E-2</v>
      </c>
      <c r="AU25" s="3">
        <v>51</v>
      </c>
      <c r="AV25" s="7">
        <v>3.9968652037617597E-2</v>
      </c>
      <c r="AW25" s="8">
        <v>2973</v>
      </c>
      <c r="AX25" s="6">
        <v>9.1243620158916704E-3</v>
      </c>
      <c r="AY25" s="3">
        <v>7</v>
      </c>
      <c r="AZ25" s="6">
        <v>4.5103092783505203E-3</v>
      </c>
      <c r="BA25" s="8">
        <v>301</v>
      </c>
      <c r="BB25" s="6">
        <v>7.7783807530299497E-3</v>
      </c>
      <c r="BC25" s="3">
        <v>2</v>
      </c>
      <c r="BD25" s="6">
        <v>7.8125E-3</v>
      </c>
      <c r="CH25" s="9" t="s">
        <v>21</v>
      </c>
      <c r="CI25" s="3" t="s">
        <v>101</v>
      </c>
      <c r="CJ25" s="3">
        <v>26192</v>
      </c>
      <c r="CK25" s="6">
        <v>0.76690188270430104</v>
      </c>
      <c r="CL25" s="3">
        <v>183</v>
      </c>
      <c r="CM25" s="6">
        <v>0.78205128205128205</v>
      </c>
      <c r="CO25" s="9" t="s">
        <v>21</v>
      </c>
      <c r="CP25" s="3" t="s">
        <v>103</v>
      </c>
      <c r="CQ25" s="3">
        <v>28680</v>
      </c>
      <c r="CR25" s="6">
        <v>0.83975053436008595</v>
      </c>
      <c r="CS25" s="3">
        <v>204</v>
      </c>
      <c r="CT25" s="6">
        <v>0.87179487179487203</v>
      </c>
    </row>
    <row r="26" spans="5:98" x14ac:dyDescent="0.4">
      <c r="AR26" s="3" t="s">
        <v>70</v>
      </c>
      <c r="AS26" s="8">
        <v>2195</v>
      </c>
      <c r="AT26" s="6">
        <v>1.32795295598093E-2</v>
      </c>
      <c r="AU26" s="3">
        <v>18</v>
      </c>
      <c r="AV26" s="7">
        <v>1.41065830721003E-2</v>
      </c>
      <c r="AW26" s="8">
        <v>5925</v>
      </c>
      <c r="AX26" s="6">
        <v>1.81842734423674E-2</v>
      </c>
      <c r="AY26" s="3">
        <v>52</v>
      </c>
      <c r="AZ26" s="6">
        <v>3.3505154639175298E-2</v>
      </c>
      <c r="BA26" s="8">
        <v>955</v>
      </c>
      <c r="BB26" s="6">
        <v>2.4678915678217901E-2</v>
      </c>
      <c r="BC26" s="3">
        <v>6</v>
      </c>
      <c r="BD26" s="6">
        <v>2.34375E-2</v>
      </c>
      <c r="CH26" s="9"/>
      <c r="CI26" s="3" t="s">
        <v>102</v>
      </c>
      <c r="CJ26" s="3">
        <v>7961</v>
      </c>
      <c r="CK26" s="6">
        <v>0.23309811729569899</v>
      </c>
      <c r="CL26" s="3">
        <v>51</v>
      </c>
      <c r="CM26" s="6">
        <v>0.21794871794871801</v>
      </c>
      <c r="CO26" s="9"/>
      <c r="CP26" s="3" t="s">
        <v>104</v>
      </c>
      <c r="CQ26" s="3">
        <v>5473</v>
      </c>
      <c r="CR26" s="6">
        <v>0.16024946563991399</v>
      </c>
      <c r="CS26" s="3">
        <v>30</v>
      </c>
      <c r="CT26" s="6">
        <v>0.128205128205128</v>
      </c>
    </row>
    <row r="27" spans="5:98" x14ac:dyDescent="0.4">
      <c r="AR27" s="3" t="s">
        <v>71</v>
      </c>
      <c r="AS27" s="8">
        <v>9169</v>
      </c>
      <c r="AT27" s="6">
        <v>5.5471529172615698E-2</v>
      </c>
      <c r="AU27" s="3">
        <v>54</v>
      </c>
      <c r="AV27" s="7">
        <v>4.2319749216300898E-2</v>
      </c>
      <c r="AW27" s="8">
        <v>4891</v>
      </c>
      <c r="AX27" s="6">
        <v>1.5010849182551699E-2</v>
      </c>
      <c r="AY27" s="3">
        <v>17</v>
      </c>
      <c r="AZ27" s="6">
        <v>1.09536082474227E-2</v>
      </c>
      <c r="BA27" s="8">
        <v>311</v>
      </c>
      <c r="BB27" s="6">
        <v>8.0367987182468903E-3</v>
      </c>
      <c r="BC27" s="3">
        <v>3</v>
      </c>
      <c r="BD27" s="6">
        <v>1.171875E-2</v>
      </c>
      <c r="CH27" s="9" t="s">
        <v>19</v>
      </c>
      <c r="CI27" s="3" t="s">
        <v>101</v>
      </c>
      <c r="CJ27" s="3">
        <v>8293</v>
      </c>
      <c r="CK27" s="6">
        <v>0.37436800288913002</v>
      </c>
      <c r="CL27" s="3">
        <v>46</v>
      </c>
      <c r="CM27" s="6">
        <v>0.24210526315789499</v>
      </c>
      <c r="CO27" s="9" t="s">
        <v>19</v>
      </c>
      <c r="CP27" s="3" t="s">
        <v>103</v>
      </c>
      <c r="CQ27" s="3">
        <v>10598</v>
      </c>
      <c r="CR27" s="6">
        <v>0.47842181292885499</v>
      </c>
      <c r="CS27" s="3">
        <v>79</v>
      </c>
      <c r="CT27" s="6">
        <v>0.41578947368421099</v>
      </c>
    </row>
    <row r="28" spans="5:98" x14ac:dyDescent="0.4">
      <c r="AR28" s="3"/>
      <c r="AS28" s="8"/>
      <c r="AT28" s="6"/>
      <c r="AU28" s="3"/>
      <c r="AV28" s="7"/>
      <c r="AW28" s="8">
        <v>3984</v>
      </c>
      <c r="AX28" s="6">
        <v>1.22271975349184E-2</v>
      </c>
      <c r="AY28" s="3">
        <v>3</v>
      </c>
      <c r="AZ28" s="6">
        <v>1.93298969072165E-3</v>
      </c>
      <c r="BA28" s="8">
        <v>2400</v>
      </c>
      <c r="BB28" s="6">
        <v>6.2020311652066E-2</v>
      </c>
      <c r="BC28" s="3">
        <v>9</v>
      </c>
      <c r="BD28" s="6">
        <v>3.515625E-2</v>
      </c>
      <c r="CH28" s="9"/>
      <c r="CI28" s="3" t="s">
        <v>102</v>
      </c>
      <c r="CJ28" s="3">
        <v>13859</v>
      </c>
      <c r="CK28" s="6">
        <v>0.62563199711087003</v>
      </c>
      <c r="CL28" s="3">
        <v>144</v>
      </c>
      <c r="CM28" s="6">
        <v>0.75789473684210495</v>
      </c>
      <c r="CO28" s="9"/>
      <c r="CP28" s="3" t="s">
        <v>104</v>
      </c>
      <c r="CQ28" s="3">
        <v>11554</v>
      </c>
      <c r="CR28" s="6">
        <v>0.52157818707114501</v>
      </c>
      <c r="CS28" s="3">
        <v>111</v>
      </c>
      <c r="CT28" s="6">
        <v>0.58421052631578996</v>
      </c>
    </row>
    <row r="29" spans="5:98" x14ac:dyDescent="0.4">
      <c r="AR29" s="3" t="s">
        <v>72</v>
      </c>
      <c r="AS29" s="8">
        <v>1258</v>
      </c>
      <c r="AT29" s="6">
        <v>7.6107736611572196E-3</v>
      </c>
      <c r="AU29" s="3">
        <v>29</v>
      </c>
      <c r="AV29" s="7">
        <v>2.27272727272727E-2</v>
      </c>
      <c r="AW29" s="8">
        <v>13983</v>
      </c>
      <c r="AX29" s="6">
        <v>4.2914885323986997E-2</v>
      </c>
      <c r="AY29" s="3">
        <v>135</v>
      </c>
      <c r="AZ29" s="6">
        <v>8.6984536082474195E-2</v>
      </c>
      <c r="BA29" s="8">
        <v>2754</v>
      </c>
      <c r="BB29" s="6">
        <v>7.1168307620745802E-2</v>
      </c>
      <c r="BC29" s="3">
        <v>36</v>
      </c>
      <c r="BD29" s="6">
        <v>0.140625</v>
      </c>
      <c r="CH29" s="9" t="s">
        <v>18</v>
      </c>
      <c r="CI29" s="3" t="s">
        <v>101</v>
      </c>
      <c r="CJ29" s="3">
        <v>6763</v>
      </c>
      <c r="CK29" s="6">
        <v>0.45813575396287798</v>
      </c>
      <c r="CL29" s="3">
        <v>70</v>
      </c>
      <c r="CM29" s="6">
        <v>0.38461538461538503</v>
      </c>
      <c r="CO29" s="9" t="s">
        <v>18</v>
      </c>
      <c r="CP29" s="3" t="s">
        <v>103</v>
      </c>
      <c r="CQ29" s="3">
        <v>9481</v>
      </c>
      <c r="CR29" s="6">
        <v>0.64225714672808598</v>
      </c>
      <c r="CS29" s="3">
        <v>104</v>
      </c>
      <c r="CT29" s="6">
        <v>0.57142857142857095</v>
      </c>
    </row>
    <row r="30" spans="5:98" x14ac:dyDescent="0.4">
      <c r="AR30" s="3" t="s">
        <v>73</v>
      </c>
      <c r="AS30" s="8">
        <v>6890</v>
      </c>
      <c r="AT30" s="6">
        <v>4.1683808048786401E-2</v>
      </c>
      <c r="AU30" s="3">
        <v>17</v>
      </c>
      <c r="AV30" s="7">
        <v>1.3322884012539201E-2</v>
      </c>
      <c r="AW30" s="8">
        <v>15597</v>
      </c>
      <c r="AX30" s="6">
        <v>4.7868373481958403E-2</v>
      </c>
      <c r="AY30" s="3">
        <v>49</v>
      </c>
      <c r="AZ30" s="6">
        <v>3.15721649484536E-2</v>
      </c>
      <c r="BA30" s="8">
        <v>1950</v>
      </c>
      <c r="BB30" s="6">
        <v>5.03915032173037E-2</v>
      </c>
      <c r="BC30" s="3">
        <v>8</v>
      </c>
      <c r="BD30" s="6">
        <v>3.125E-2</v>
      </c>
      <c r="CH30" s="9"/>
      <c r="CI30" s="3" t="s">
        <v>102</v>
      </c>
      <c r="CJ30" s="3">
        <v>7999</v>
      </c>
      <c r="CK30" s="6">
        <v>0.54186424603712202</v>
      </c>
      <c r="CL30" s="3">
        <v>112</v>
      </c>
      <c r="CM30" s="6">
        <v>0.61538461538461497</v>
      </c>
      <c r="CO30" s="9"/>
      <c r="CP30" s="3" t="s">
        <v>104</v>
      </c>
      <c r="CQ30" s="3">
        <v>5281</v>
      </c>
      <c r="CR30" s="6">
        <v>0.35774285327191402</v>
      </c>
      <c r="CS30" s="3">
        <v>78</v>
      </c>
      <c r="CT30" s="6">
        <v>0.42857142857142899</v>
      </c>
    </row>
    <row r="31" spans="5:98" x14ac:dyDescent="0.4">
      <c r="AR31" s="3" t="s">
        <v>74</v>
      </c>
      <c r="AS31" s="8">
        <v>1795</v>
      </c>
      <c r="AT31" s="6">
        <v>1.08595697311425E-2</v>
      </c>
      <c r="AU31" s="3">
        <v>13</v>
      </c>
      <c r="AV31" s="7">
        <v>1.01880877742947E-2</v>
      </c>
      <c r="AW31" s="8">
        <v>2886</v>
      </c>
      <c r="AX31" s="6">
        <v>8.8573524311682996E-3</v>
      </c>
      <c r="AY31" s="3">
        <v>15</v>
      </c>
      <c r="AZ31" s="6">
        <v>9.6649484536082495E-3</v>
      </c>
      <c r="BA31" s="8">
        <v>590</v>
      </c>
      <c r="BB31" s="6">
        <v>1.52466599477996E-2</v>
      </c>
      <c r="BC31" s="3">
        <v>2</v>
      </c>
      <c r="BD31" s="6">
        <v>7.8125E-3</v>
      </c>
      <c r="CH31" s="9" t="s">
        <v>9</v>
      </c>
      <c r="CI31" s="3" t="s">
        <v>101</v>
      </c>
      <c r="CJ31" s="3">
        <v>23353</v>
      </c>
      <c r="CK31" s="6">
        <v>0.63928278127566396</v>
      </c>
      <c r="CL31" s="3">
        <v>171</v>
      </c>
      <c r="CM31" s="6">
        <v>0.51506024096385505</v>
      </c>
      <c r="CO31" s="9" t="s">
        <v>9</v>
      </c>
      <c r="CP31" s="3" t="s">
        <v>103</v>
      </c>
      <c r="CQ31" s="3">
        <v>27022</v>
      </c>
      <c r="CR31" s="6">
        <v>0.73972077744319698</v>
      </c>
      <c r="CS31" s="3">
        <v>222</v>
      </c>
      <c r="CT31" s="6">
        <v>0.66867469879518104</v>
      </c>
    </row>
    <row r="32" spans="5:98" x14ac:dyDescent="0.4">
      <c r="AR32" s="3"/>
      <c r="AS32" s="8"/>
      <c r="AT32" s="6"/>
      <c r="AU32" s="3"/>
      <c r="AV32" s="7"/>
      <c r="AW32" s="8">
        <v>10289</v>
      </c>
      <c r="AX32" s="6">
        <v>3.1577719738146499E-2</v>
      </c>
      <c r="AY32" s="3">
        <v>41</v>
      </c>
      <c r="AZ32" s="6">
        <v>2.64175257731959E-2</v>
      </c>
      <c r="BA32" s="8">
        <v>813</v>
      </c>
      <c r="BB32" s="6">
        <v>2.1009380572137401E-2</v>
      </c>
      <c r="BC32" s="3">
        <v>2</v>
      </c>
      <c r="BD32" s="6">
        <v>7.8125E-3</v>
      </c>
      <c r="CH32" s="9"/>
      <c r="CI32" s="3" t="s">
        <v>102</v>
      </c>
      <c r="CJ32" s="3">
        <v>13177</v>
      </c>
      <c r="CK32" s="6">
        <v>0.36071721872433599</v>
      </c>
      <c r="CL32" s="3">
        <v>161</v>
      </c>
      <c r="CM32" s="6">
        <v>0.484939759036145</v>
      </c>
      <c r="CO32" s="9"/>
      <c r="CP32" s="3" t="s">
        <v>104</v>
      </c>
      <c r="CQ32" s="3">
        <v>9508</v>
      </c>
      <c r="CR32" s="6">
        <v>0.26027922255680302</v>
      </c>
      <c r="CS32" s="3">
        <v>110</v>
      </c>
      <c r="CT32" s="6">
        <v>0.33132530120481901</v>
      </c>
    </row>
    <row r="33" spans="44:98" x14ac:dyDescent="0.4">
      <c r="AR33" s="3"/>
      <c r="AS33" s="8"/>
      <c r="AT33" s="6"/>
      <c r="AU33" s="3"/>
      <c r="AV33" s="7"/>
      <c r="AW33" s="8">
        <v>2606</v>
      </c>
      <c r="AX33" s="6">
        <v>7.9980112389551605E-3</v>
      </c>
      <c r="AY33" s="3">
        <v>47</v>
      </c>
      <c r="AZ33" s="6">
        <v>3.02835051546392E-2</v>
      </c>
      <c r="BA33" s="8">
        <v>89</v>
      </c>
      <c r="BB33" s="6">
        <v>2.29991989043078E-3</v>
      </c>
      <c r="BC33" s="3">
        <v>2</v>
      </c>
      <c r="BD33" s="6">
        <v>7.8125E-3</v>
      </c>
      <c r="CH33" s="9" t="s">
        <v>8</v>
      </c>
      <c r="CI33" s="3" t="s">
        <v>101</v>
      </c>
      <c r="CJ33" s="3">
        <v>6671</v>
      </c>
      <c r="CK33" s="6">
        <v>0.29085280781304501</v>
      </c>
      <c r="CL33" s="3">
        <v>22</v>
      </c>
      <c r="CM33" s="6">
        <v>0.132530120481928</v>
      </c>
      <c r="CO33" s="9" t="s">
        <v>8</v>
      </c>
      <c r="CP33" s="3" t="s">
        <v>103</v>
      </c>
      <c r="CQ33" s="3">
        <v>9419</v>
      </c>
      <c r="CR33" s="6">
        <v>0.41066445762120701</v>
      </c>
      <c r="CS33" s="3">
        <v>56</v>
      </c>
      <c r="CT33" s="6">
        <v>0.33734939759036098</v>
      </c>
    </row>
    <row r="34" spans="44:98" x14ac:dyDescent="0.4">
      <c r="AR34" s="3" t="s">
        <v>75</v>
      </c>
      <c r="AS34" s="8">
        <v>18386</v>
      </c>
      <c r="AT34" s="6">
        <v>0.111233453524671</v>
      </c>
      <c r="AU34" s="3">
        <v>53</v>
      </c>
      <c r="AV34" s="7">
        <v>4.15360501567398E-2</v>
      </c>
      <c r="AW34" s="8">
        <v>8929</v>
      </c>
      <c r="AX34" s="6">
        <v>2.7403776804539801E-2</v>
      </c>
      <c r="AY34" s="3">
        <v>38</v>
      </c>
      <c r="AZ34" s="6">
        <v>2.4484536082474199E-2</v>
      </c>
      <c r="BA34" s="8">
        <v>1163</v>
      </c>
      <c r="BB34" s="6">
        <v>3.00540093547303E-2</v>
      </c>
      <c r="BC34" s="3">
        <v>11</v>
      </c>
      <c r="BD34" s="6">
        <v>4.296875E-2</v>
      </c>
      <c r="CH34" s="9"/>
      <c r="CI34" s="3" t="s">
        <v>102</v>
      </c>
      <c r="CJ34" s="3">
        <v>16265</v>
      </c>
      <c r="CK34" s="6">
        <v>0.70914719218695499</v>
      </c>
      <c r="CL34" s="3">
        <v>144</v>
      </c>
      <c r="CM34" s="6">
        <v>0.86746987951807197</v>
      </c>
      <c r="CO34" s="9"/>
      <c r="CP34" s="3" t="s">
        <v>104</v>
      </c>
      <c r="CQ34" s="3">
        <v>13517</v>
      </c>
      <c r="CR34" s="6">
        <v>0.58933554237879304</v>
      </c>
      <c r="CS34" s="3">
        <v>110</v>
      </c>
      <c r="CT34" s="6">
        <v>0.66265060240963902</v>
      </c>
    </row>
    <row r="35" spans="44:98" x14ac:dyDescent="0.4">
      <c r="AR35" s="3" t="s">
        <v>76</v>
      </c>
      <c r="AS35" s="8">
        <v>11270</v>
      </c>
      <c r="AT35" s="6">
        <v>6.8182368172688301E-2</v>
      </c>
      <c r="AU35" s="3">
        <v>77</v>
      </c>
      <c r="AV35" s="7">
        <v>6.0344827586206899E-2</v>
      </c>
      <c r="AW35" s="8">
        <v>19888</v>
      </c>
      <c r="AX35" s="6">
        <v>6.1037777252624797E-2</v>
      </c>
      <c r="AY35" s="3">
        <v>70</v>
      </c>
      <c r="AZ35" s="6">
        <v>4.5103092783505203E-2</v>
      </c>
      <c r="BA35" s="8">
        <v>2022</v>
      </c>
      <c r="BB35" s="6">
        <v>5.2252112566865599E-2</v>
      </c>
      <c r="BC35" s="3">
        <v>6</v>
      </c>
      <c r="BD35" s="6">
        <v>2.34375E-2</v>
      </c>
      <c r="CH35" s="9" t="s">
        <v>20</v>
      </c>
      <c r="CI35" s="3" t="s">
        <v>101</v>
      </c>
      <c r="CJ35" s="3">
        <v>866</v>
      </c>
      <c r="CK35" s="6">
        <v>0.18663793103448301</v>
      </c>
      <c r="CL35" s="3">
        <v>5</v>
      </c>
      <c r="CM35" s="6">
        <v>0.11363636363636399</v>
      </c>
      <c r="CO35" s="9" t="s">
        <v>20</v>
      </c>
      <c r="CP35" s="3" t="s">
        <v>103</v>
      </c>
      <c r="CQ35" s="3">
        <v>1370</v>
      </c>
      <c r="CR35" s="6">
        <v>0.29525862068965503</v>
      </c>
      <c r="CS35" s="3">
        <v>15</v>
      </c>
      <c r="CT35" s="6">
        <v>0.34090909090909099</v>
      </c>
    </row>
    <row r="36" spans="44:98" x14ac:dyDescent="0.4">
      <c r="AR36" s="3" t="s">
        <v>77</v>
      </c>
      <c r="AS36" s="8">
        <v>1621</v>
      </c>
      <c r="AT36" s="6">
        <v>9.8068872056723908E-3</v>
      </c>
      <c r="AU36" s="3">
        <v>16</v>
      </c>
      <c r="AV36" s="7">
        <v>1.2539184952978099E-2</v>
      </c>
      <c r="AW36" s="8">
        <v>5246</v>
      </c>
      <c r="AX36" s="6">
        <v>1.6100371051250499E-2</v>
      </c>
      <c r="AY36" s="3">
        <v>14</v>
      </c>
      <c r="AZ36" s="6">
        <v>9.0206185567010301E-3</v>
      </c>
      <c r="BA36" s="8">
        <v>963</v>
      </c>
      <c r="BB36" s="6">
        <v>2.4885650050391499E-2</v>
      </c>
      <c r="BC36" s="3">
        <v>6</v>
      </c>
      <c r="BD36" s="6">
        <v>2.34375E-2</v>
      </c>
      <c r="CH36" s="9"/>
      <c r="CI36" s="3" t="s">
        <v>102</v>
      </c>
      <c r="CJ36" s="3">
        <v>3774</v>
      </c>
      <c r="CK36" s="6">
        <v>0.81336206896551699</v>
      </c>
      <c r="CL36" s="3">
        <v>39</v>
      </c>
      <c r="CM36" s="6">
        <v>0.88636363636363602</v>
      </c>
      <c r="CO36" s="9"/>
      <c r="CP36" s="3" t="s">
        <v>104</v>
      </c>
      <c r="CQ36" s="3">
        <v>3270</v>
      </c>
      <c r="CR36" s="6">
        <v>0.70474137931034497</v>
      </c>
      <c r="CS36" s="3">
        <v>29</v>
      </c>
      <c r="CT36" s="6">
        <v>0.65909090909090895</v>
      </c>
    </row>
    <row r="37" spans="44:98" x14ac:dyDescent="0.4">
      <c r="AR37" s="3" t="s">
        <v>78</v>
      </c>
      <c r="AS37" s="8">
        <v>72</v>
      </c>
      <c r="AT37" s="6">
        <v>4.35592769160032E-4</v>
      </c>
      <c r="AU37" s="3"/>
      <c r="AV37" s="7"/>
      <c r="AW37" s="8">
        <v>2203</v>
      </c>
      <c r="AX37" s="6">
        <v>6.7611737373055401E-3</v>
      </c>
      <c r="AY37" s="3">
        <v>67</v>
      </c>
      <c r="AZ37" s="6">
        <v>4.3170103092783498E-2</v>
      </c>
      <c r="BA37" s="8">
        <v>181</v>
      </c>
      <c r="BB37" s="6">
        <v>4.6773651704266504E-3</v>
      </c>
      <c r="BC37" s="3">
        <v>3</v>
      </c>
      <c r="BD37" s="6">
        <v>1.171875E-2</v>
      </c>
      <c r="CT37" s="1"/>
    </row>
    <row r="38" spans="44:98" x14ac:dyDescent="0.4">
      <c r="AR38" s="3" t="s">
        <v>79</v>
      </c>
      <c r="AS38" s="8">
        <v>716</v>
      </c>
      <c r="AT38" s="6">
        <v>4.3317280933136502E-3</v>
      </c>
      <c r="AU38" s="3">
        <v>1</v>
      </c>
      <c r="AV38" s="7">
        <v>7.8369905956112795E-4</v>
      </c>
      <c r="AW38" s="8">
        <v>5023</v>
      </c>
      <c r="AX38" s="6">
        <v>1.5415967173166499E-2</v>
      </c>
      <c r="AY38" s="3">
        <v>16</v>
      </c>
      <c r="AZ38" s="6">
        <v>1.03092783505155E-2</v>
      </c>
      <c r="BA38" s="8">
        <v>990</v>
      </c>
      <c r="BB38" s="6">
        <v>2.5583378556477201E-2</v>
      </c>
      <c r="BC38" s="3">
        <v>5</v>
      </c>
      <c r="BD38" s="6">
        <v>1.953125E-2</v>
      </c>
      <c r="CT38" s="1"/>
    </row>
    <row r="39" spans="44:98" x14ac:dyDescent="0.4">
      <c r="CT39" s="1"/>
    </row>
    <row r="40" spans="44:98" x14ac:dyDescent="0.4">
      <c r="CT40" s="1"/>
    </row>
    <row r="41" spans="44:98" x14ac:dyDescent="0.4">
      <c r="CT41" s="1"/>
    </row>
    <row r="42" spans="44:98" x14ac:dyDescent="0.4">
      <c r="CT42" s="1"/>
    </row>
    <row r="43" spans="44:98" x14ac:dyDescent="0.4">
      <c r="CT43" s="1"/>
    </row>
    <row r="44" spans="44:98" x14ac:dyDescent="0.4">
      <c r="CT44" s="1"/>
    </row>
    <row r="45" spans="44:98" x14ac:dyDescent="0.4">
      <c r="CT45" s="1"/>
    </row>
    <row r="46" spans="44:98" x14ac:dyDescent="0.4">
      <c r="CT46" s="1"/>
    </row>
    <row r="47" spans="44:98" x14ac:dyDescent="0.4">
      <c r="CT47" s="1"/>
    </row>
    <row r="48" spans="44:98" x14ac:dyDescent="0.4">
      <c r="CT48" s="1"/>
    </row>
    <row r="49" spans="98:98" x14ac:dyDescent="0.4">
      <c r="CT49" s="1"/>
    </row>
    <row r="50" spans="98:98" x14ac:dyDescent="0.4">
      <c r="CT50" s="1"/>
    </row>
    <row r="51" spans="98:98" x14ac:dyDescent="0.4">
      <c r="CT51" s="1"/>
    </row>
    <row r="52" spans="98:98" x14ac:dyDescent="0.4">
      <c r="CT52" s="1"/>
    </row>
    <row r="53" spans="98:98" x14ac:dyDescent="0.4">
      <c r="CT53" s="1"/>
    </row>
    <row r="54" spans="98:98" x14ac:dyDescent="0.4">
      <c r="CT54" s="1"/>
    </row>
    <row r="55" spans="98:98" x14ac:dyDescent="0.4">
      <c r="CT55" s="1"/>
    </row>
    <row r="56" spans="98:98" x14ac:dyDescent="0.4">
      <c r="CT56" s="1"/>
    </row>
    <row r="57" spans="98:98" x14ac:dyDescent="0.4">
      <c r="CT57" s="1"/>
    </row>
    <row r="58" spans="98:98" x14ac:dyDescent="0.4">
      <c r="CT58" s="1"/>
    </row>
    <row r="59" spans="98:98" x14ac:dyDescent="0.4">
      <c r="CT59" s="1"/>
    </row>
    <row r="60" spans="98:98" x14ac:dyDescent="0.4">
      <c r="CT60" s="1"/>
    </row>
    <row r="61" spans="98:98" x14ac:dyDescent="0.4">
      <c r="CT61" s="1"/>
    </row>
    <row r="62" spans="98:98" x14ac:dyDescent="0.4">
      <c r="CT62" s="1"/>
    </row>
    <row r="63" spans="98:98" x14ac:dyDescent="0.4">
      <c r="CT63" s="1"/>
    </row>
    <row r="64" spans="98:98" x14ac:dyDescent="0.4">
      <c r="CT64" s="1"/>
    </row>
    <row r="65" spans="98:98" x14ac:dyDescent="0.4">
      <c r="CT65" s="1"/>
    </row>
    <row r="66" spans="98:98" x14ac:dyDescent="0.4">
      <c r="CT66" s="1"/>
    </row>
    <row r="67" spans="98:98" x14ac:dyDescent="0.4">
      <c r="CT67" s="1"/>
    </row>
    <row r="68" spans="98:98" x14ac:dyDescent="0.4">
      <c r="CT68" s="1"/>
    </row>
    <row r="69" spans="98:98" x14ac:dyDescent="0.4">
      <c r="CT69" s="1"/>
    </row>
    <row r="70" spans="98:98" x14ac:dyDescent="0.4">
      <c r="CT70" s="1"/>
    </row>
    <row r="71" spans="98:98" x14ac:dyDescent="0.4">
      <c r="CT71" s="1"/>
    </row>
    <row r="72" spans="98:98" x14ac:dyDescent="0.4">
      <c r="CT72" s="1"/>
    </row>
    <row r="73" spans="98:98" x14ac:dyDescent="0.4">
      <c r="CT73" s="1"/>
    </row>
    <row r="74" spans="98:98" x14ac:dyDescent="0.4">
      <c r="CT74" s="1"/>
    </row>
    <row r="75" spans="98:98" x14ac:dyDescent="0.4">
      <c r="CT75" s="1"/>
    </row>
    <row r="76" spans="98:98" x14ac:dyDescent="0.4">
      <c r="CT76" s="1"/>
    </row>
    <row r="77" spans="98:98" x14ac:dyDescent="0.4">
      <c r="CT77" s="1"/>
    </row>
    <row r="78" spans="98:98" x14ac:dyDescent="0.4">
      <c r="CT78" s="1"/>
    </row>
    <row r="79" spans="98:98" x14ac:dyDescent="0.4">
      <c r="CT79" s="1"/>
    </row>
    <row r="80" spans="98:98" x14ac:dyDescent="0.4">
      <c r="CT80" s="1"/>
    </row>
    <row r="81" spans="98:98" x14ac:dyDescent="0.4">
      <c r="CT81" s="1"/>
    </row>
    <row r="82" spans="98:98" x14ac:dyDescent="0.4">
      <c r="CT82" s="1"/>
    </row>
    <row r="83" spans="98:98" x14ac:dyDescent="0.4">
      <c r="CT83" s="1"/>
    </row>
    <row r="84" spans="98:98" x14ac:dyDescent="0.4">
      <c r="CT84" s="1"/>
    </row>
    <row r="85" spans="98:98" x14ac:dyDescent="0.4">
      <c r="CT85" s="1"/>
    </row>
    <row r="86" spans="98:98" x14ac:dyDescent="0.4">
      <c r="CT86" s="1"/>
    </row>
    <row r="87" spans="98:98" x14ac:dyDescent="0.4">
      <c r="CT87" s="1"/>
    </row>
    <row r="88" spans="98:98" x14ac:dyDescent="0.4">
      <c r="CT88" s="1"/>
    </row>
    <row r="89" spans="98:98" x14ac:dyDescent="0.4">
      <c r="CT89" s="1"/>
    </row>
    <row r="90" spans="98:98" x14ac:dyDescent="0.4">
      <c r="CT90" s="1"/>
    </row>
    <row r="91" spans="98:98" x14ac:dyDescent="0.4">
      <c r="CT91" s="1"/>
    </row>
    <row r="92" spans="98:98" x14ac:dyDescent="0.4">
      <c r="CT92" s="1"/>
    </row>
    <row r="93" spans="98:98" x14ac:dyDescent="0.4">
      <c r="CT93" s="1"/>
    </row>
    <row r="94" spans="98:98" x14ac:dyDescent="0.4">
      <c r="CT94" s="1"/>
    </row>
    <row r="95" spans="98:98" x14ac:dyDescent="0.4">
      <c r="CT95" s="1"/>
    </row>
    <row r="96" spans="98:98" x14ac:dyDescent="0.4">
      <c r="CT96" s="1"/>
    </row>
    <row r="97" spans="98:98" x14ac:dyDescent="0.4">
      <c r="CT97" s="1"/>
    </row>
    <row r="98" spans="98:98" x14ac:dyDescent="0.4">
      <c r="CT98" s="1"/>
    </row>
    <row r="99" spans="98:98" x14ac:dyDescent="0.4">
      <c r="CT99" s="1"/>
    </row>
    <row r="100" spans="98:98" x14ac:dyDescent="0.4">
      <c r="CT100" s="1"/>
    </row>
    <row r="101" spans="98:98" x14ac:dyDescent="0.4">
      <c r="CT101" s="1"/>
    </row>
    <row r="102" spans="98:98" x14ac:dyDescent="0.4">
      <c r="CT102" s="1"/>
    </row>
    <row r="103" spans="98:98" x14ac:dyDescent="0.4">
      <c r="CT103" s="1"/>
    </row>
    <row r="104" spans="98:98" x14ac:dyDescent="0.4">
      <c r="CT104" s="1"/>
    </row>
    <row r="105" spans="98:98" x14ac:dyDescent="0.4">
      <c r="CT105" s="1"/>
    </row>
    <row r="106" spans="98:98" x14ac:dyDescent="0.4">
      <c r="CT106" s="1"/>
    </row>
    <row r="107" spans="98:98" x14ac:dyDescent="0.4">
      <c r="CT107" s="1"/>
    </row>
    <row r="108" spans="98:98" x14ac:dyDescent="0.4">
      <c r="CT108" s="1"/>
    </row>
    <row r="109" spans="98:98" x14ac:dyDescent="0.4">
      <c r="CT109" s="1"/>
    </row>
    <row r="110" spans="98:98" x14ac:dyDescent="0.4">
      <c r="CT110" s="1"/>
    </row>
    <row r="111" spans="98:98" x14ac:dyDescent="0.4">
      <c r="CT111" s="1"/>
    </row>
    <row r="112" spans="98:98" x14ac:dyDescent="0.4">
      <c r="CT112" s="1"/>
    </row>
    <row r="113" spans="98:98" x14ac:dyDescent="0.4">
      <c r="CT113" s="1"/>
    </row>
    <row r="114" spans="98:98" x14ac:dyDescent="0.4">
      <c r="CT114" s="1"/>
    </row>
    <row r="115" spans="98:98" x14ac:dyDescent="0.4">
      <c r="CT115" s="1"/>
    </row>
    <row r="116" spans="98:98" x14ac:dyDescent="0.4">
      <c r="CT116" s="1"/>
    </row>
    <row r="117" spans="98:98" x14ac:dyDescent="0.4">
      <c r="CT117" s="1"/>
    </row>
    <row r="118" spans="98:98" x14ac:dyDescent="0.4">
      <c r="CT118" s="1"/>
    </row>
    <row r="119" spans="98:98" x14ac:dyDescent="0.4">
      <c r="CT119" s="1"/>
    </row>
    <row r="120" spans="98:98" x14ac:dyDescent="0.4">
      <c r="CT120" s="1"/>
    </row>
    <row r="121" spans="98:98" x14ac:dyDescent="0.4">
      <c r="CT121" s="1"/>
    </row>
    <row r="122" spans="98:98" x14ac:dyDescent="0.4">
      <c r="CT122" s="1"/>
    </row>
    <row r="123" spans="98:98" x14ac:dyDescent="0.4">
      <c r="CT123" s="1"/>
    </row>
    <row r="124" spans="98:98" x14ac:dyDescent="0.4">
      <c r="CT124" s="1"/>
    </row>
    <row r="125" spans="98:98" x14ac:dyDescent="0.4">
      <c r="CT125" s="1"/>
    </row>
    <row r="126" spans="98:98" x14ac:dyDescent="0.4">
      <c r="CT126" s="1"/>
    </row>
    <row r="127" spans="98:98" x14ac:dyDescent="0.4">
      <c r="CT127" s="1"/>
    </row>
    <row r="128" spans="98:98" x14ac:dyDescent="0.4">
      <c r="CT128" s="1"/>
    </row>
    <row r="129" spans="98:98" x14ac:dyDescent="0.4">
      <c r="CT129" s="1"/>
    </row>
    <row r="130" spans="98:98" x14ac:dyDescent="0.4">
      <c r="CT130" s="1"/>
    </row>
    <row r="131" spans="98:98" x14ac:dyDescent="0.4">
      <c r="CT131" s="1"/>
    </row>
    <row r="132" spans="98:98" x14ac:dyDescent="0.4">
      <c r="CT132" s="1"/>
    </row>
    <row r="133" spans="98:98" x14ac:dyDescent="0.4">
      <c r="CT133" s="1"/>
    </row>
    <row r="134" spans="98:98" x14ac:dyDescent="0.4">
      <c r="CT134" s="1"/>
    </row>
    <row r="135" spans="98:98" x14ac:dyDescent="0.4">
      <c r="CT135" s="1"/>
    </row>
    <row r="136" spans="98:98" x14ac:dyDescent="0.4">
      <c r="CT136" s="1"/>
    </row>
    <row r="137" spans="98:98" x14ac:dyDescent="0.4">
      <c r="CT137" s="1"/>
    </row>
    <row r="138" spans="98:98" x14ac:dyDescent="0.4">
      <c r="CT138" s="1"/>
    </row>
    <row r="139" spans="98:98" x14ac:dyDescent="0.4">
      <c r="CT139" s="1"/>
    </row>
    <row r="140" spans="98:98" x14ac:dyDescent="0.4">
      <c r="CT140" s="1"/>
    </row>
    <row r="141" spans="98:98" x14ac:dyDescent="0.4">
      <c r="CT141" s="1"/>
    </row>
    <row r="142" spans="98:98" x14ac:dyDescent="0.4">
      <c r="CT142" s="1"/>
    </row>
    <row r="143" spans="98:98" x14ac:dyDescent="0.4">
      <c r="CT143" s="1"/>
    </row>
    <row r="144" spans="98:98" x14ac:dyDescent="0.4">
      <c r="CT144" s="1"/>
    </row>
    <row r="145" spans="98:98" x14ac:dyDescent="0.4">
      <c r="CT145" s="1"/>
    </row>
    <row r="146" spans="98:98" x14ac:dyDescent="0.4">
      <c r="CT146" s="1"/>
    </row>
    <row r="147" spans="98:98" x14ac:dyDescent="0.4">
      <c r="CT147" s="1"/>
    </row>
    <row r="148" spans="98:98" x14ac:dyDescent="0.4">
      <c r="CT148" s="1"/>
    </row>
    <row r="149" spans="98:98" x14ac:dyDescent="0.4">
      <c r="CT149" s="1"/>
    </row>
    <row r="150" spans="98:98" x14ac:dyDescent="0.4">
      <c r="CT150" s="1"/>
    </row>
    <row r="151" spans="98:98" x14ac:dyDescent="0.4">
      <c r="CT151" s="1"/>
    </row>
    <row r="152" spans="98:98" x14ac:dyDescent="0.4">
      <c r="CT152" s="1"/>
    </row>
    <row r="153" spans="98:98" x14ac:dyDescent="0.4">
      <c r="CT153" s="1"/>
    </row>
    <row r="154" spans="98:98" x14ac:dyDescent="0.4">
      <c r="CT154" s="1"/>
    </row>
    <row r="155" spans="98:98" x14ac:dyDescent="0.4">
      <c r="CT155" s="1"/>
    </row>
    <row r="156" spans="98:98" x14ac:dyDescent="0.4">
      <c r="CT156" s="1"/>
    </row>
    <row r="157" spans="98:98" x14ac:dyDescent="0.4">
      <c r="CT157" s="1"/>
    </row>
    <row r="158" spans="98:98" x14ac:dyDescent="0.4">
      <c r="CT158" s="1"/>
    </row>
    <row r="159" spans="98:98" x14ac:dyDescent="0.4">
      <c r="CT159" s="1"/>
    </row>
    <row r="160" spans="98:98" x14ac:dyDescent="0.4">
      <c r="CT160" s="1"/>
    </row>
    <row r="161" spans="98:98" x14ac:dyDescent="0.4">
      <c r="CT161" s="1"/>
    </row>
    <row r="162" spans="98:98" x14ac:dyDescent="0.4">
      <c r="CT162" s="1"/>
    </row>
    <row r="163" spans="98:98" x14ac:dyDescent="0.4">
      <c r="CT163" s="1"/>
    </row>
    <row r="164" spans="98:98" x14ac:dyDescent="0.4">
      <c r="CT164" s="1"/>
    </row>
    <row r="165" spans="98:98" x14ac:dyDescent="0.4">
      <c r="CT165" s="1"/>
    </row>
    <row r="166" spans="98:98" x14ac:dyDescent="0.4">
      <c r="CT166" s="1"/>
    </row>
    <row r="167" spans="98:98" x14ac:dyDescent="0.4">
      <c r="CT167" s="1"/>
    </row>
    <row r="168" spans="98:98" x14ac:dyDescent="0.4">
      <c r="CT168" s="1"/>
    </row>
    <row r="169" spans="98:98" x14ac:dyDescent="0.4">
      <c r="CT169" s="1"/>
    </row>
    <row r="170" spans="98:98" x14ac:dyDescent="0.4">
      <c r="CT170" s="1"/>
    </row>
    <row r="171" spans="98:98" x14ac:dyDescent="0.4">
      <c r="CT171" s="1"/>
    </row>
    <row r="172" spans="98:98" x14ac:dyDescent="0.4">
      <c r="CT172" s="1"/>
    </row>
    <row r="173" spans="98:98" x14ac:dyDescent="0.4">
      <c r="CT173" s="1"/>
    </row>
    <row r="174" spans="98:98" x14ac:dyDescent="0.4">
      <c r="CT174" s="1"/>
    </row>
    <row r="175" spans="98:98" x14ac:dyDescent="0.4">
      <c r="CT175" s="1"/>
    </row>
    <row r="176" spans="98:98" x14ac:dyDescent="0.4">
      <c r="CT176" s="1"/>
    </row>
    <row r="177" spans="98:98" x14ac:dyDescent="0.4">
      <c r="CT177" s="1"/>
    </row>
    <row r="178" spans="98:98" x14ac:dyDescent="0.4">
      <c r="CT178" s="1"/>
    </row>
    <row r="179" spans="98:98" x14ac:dyDescent="0.4">
      <c r="CT179" s="1"/>
    </row>
    <row r="180" spans="98:98" x14ac:dyDescent="0.4">
      <c r="CT180" s="1"/>
    </row>
    <row r="181" spans="98:98" x14ac:dyDescent="0.4">
      <c r="CT181" s="1"/>
    </row>
    <row r="182" spans="98:98" x14ac:dyDescent="0.4">
      <c r="CT182" s="1"/>
    </row>
    <row r="183" spans="98:98" x14ac:dyDescent="0.4">
      <c r="CT183" s="1"/>
    </row>
    <row r="184" spans="98:98" x14ac:dyDescent="0.4">
      <c r="CT184" s="1"/>
    </row>
    <row r="185" spans="98:98" x14ac:dyDescent="0.4">
      <c r="CT185" s="1"/>
    </row>
    <row r="186" spans="98:98" x14ac:dyDescent="0.4">
      <c r="CT186" s="1"/>
    </row>
    <row r="187" spans="98:98" x14ac:dyDescent="0.4">
      <c r="CT187" s="1"/>
    </row>
    <row r="188" spans="98:98" x14ac:dyDescent="0.4">
      <c r="CT188" s="1"/>
    </row>
    <row r="189" spans="98:98" x14ac:dyDescent="0.4">
      <c r="CT189" s="1"/>
    </row>
    <row r="190" spans="98:98" x14ac:dyDescent="0.4">
      <c r="CT190" s="1"/>
    </row>
    <row r="191" spans="98:98" x14ac:dyDescent="0.4">
      <c r="CT191" s="1"/>
    </row>
    <row r="192" spans="98:98" x14ac:dyDescent="0.4">
      <c r="CT192" s="1"/>
    </row>
    <row r="193" spans="98:98" x14ac:dyDescent="0.4">
      <c r="CT193" s="1"/>
    </row>
    <row r="194" spans="98:98" x14ac:dyDescent="0.4">
      <c r="CT194" s="1"/>
    </row>
    <row r="195" spans="98:98" x14ac:dyDescent="0.4">
      <c r="CT195" s="1"/>
    </row>
    <row r="196" spans="98:98" x14ac:dyDescent="0.4">
      <c r="CT196" s="1"/>
    </row>
    <row r="197" spans="98:98" x14ac:dyDescent="0.4">
      <c r="CT197" s="1"/>
    </row>
    <row r="198" spans="98:98" x14ac:dyDescent="0.4">
      <c r="CT198" s="1"/>
    </row>
    <row r="199" spans="98:98" x14ac:dyDescent="0.4">
      <c r="CT199" s="1"/>
    </row>
    <row r="200" spans="98:98" x14ac:dyDescent="0.4">
      <c r="CT200" s="1"/>
    </row>
    <row r="201" spans="98:98" x14ac:dyDescent="0.4">
      <c r="CT201" s="1"/>
    </row>
    <row r="202" spans="98:98" x14ac:dyDescent="0.4">
      <c r="CT202" s="1"/>
    </row>
    <row r="203" spans="98:98" x14ac:dyDescent="0.4">
      <c r="CT203" s="1"/>
    </row>
    <row r="204" spans="98:98" x14ac:dyDescent="0.4">
      <c r="CT204" s="1"/>
    </row>
    <row r="205" spans="98:98" x14ac:dyDescent="0.4">
      <c r="CT205" s="1"/>
    </row>
    <row r="206" spans="98:98" x14ac:dyDescent="0.4">
      <c r="CT206" s="1"/>
    </row>
    <row r="207" spans="98:98" x14ac:dyDescent="0.4">
      <c r="CT207" s="1"/>
    </row>
    <row r="208" spans="98:98" x14ac:dyDescent="0.4">
      <c r="CT208" s="1"/>
    </row>
  </sheetData>
  <mergeCells count="76">
    <mergeCell ref="CX1:CY1"/>
    <mergeCell ref="CZ1:DA1"/>
    <mergeCell ref="DE1:DF1"/>
    <mergeCell ref="DG1:DH1"/>
    <mergeCell ref="CO31:CO32"/>
    <mergeCell ref="CO23:CO24"/>
    <mergeCell ref="CO25:CO26"/>
    <mergeCell ref="CO27:CO28"/>
    <mergeCell ref="CO29:CO30"/>
    <mergeCell ref="CO33:CO34"/>
    <mergeCell ref="CO35:CO36"/>
    <mergeCell ref="CQ1:CR1"/>
    <mergeCell ref="CS1:CT1"/>
    <mergeCell ref="CH33:CH34"/>
    <mergeCell ref="CH35:CH36"/>
    <mergeCell ref="CO3:CO4"/>
    <mergeCell ref="CO5:CO6"/>
    <mergeCell ref="CO7:CO8"/>
    <mergeCell ref="CO9:CO10"/>
    <mergeCell ref="CO11:CO12"/>
    <mergeCell ref="CO13:CO14"/>
    <mergeCell ref="CO15:CO16"/>
    <mergeCell ref="CO17:CO18"/>
    <mergeCell ref="CO19:CO20"/>
    <mergeCell ref="CO21:CO22"/>
    <mergeCell ref="CH23:CH24"/>
    <mergeCell ref="CH25:CH26"/>
    <mergeCell ref="CH27:CH28"/>
    <mergeCell ref="CH29:CH30"/>
    <mergeCell ref="CH31:CH32"/>
    <mergeCell ref="CH13:CH14"/>
    <mergeCell ref="CH15:CH16"/>
    <mergeCell ref="CH17:CH18"/>
    <mergeCell ref="CH19:CH20"/>
    <mergeCell ref="CH21:CH22"/>
    <mergeCell ref="CH3:CH4"/>
    <mergeCell ref="CH5:CH6"/>
    <mergeCell ref="CH7:CH8"/>
    <mergeCell ref="CH9:CH10"/>
    <mergeCell ref="CH11:CH12"/>
    <mergeCell ref="CE2:CF2"/>
    <mergeCell ref="BU1:BY1"/>
    <mergeCell ref="CB1:CF1"/>
    <mergeCell ref="CJ1:CK1"/>
    <mergeCell ref="CL1:CM1"/>
    <mergeCell ref="BO1:BP1"/>
    <mergeCell ref="BQ1:BR1"/>
    <mergeCell ref="BV2:BW2"/>
    <mergeCell ref="BX2:BY2"/>
    <mergeCell ref="CC2:CD2"/>
    <mergeCell ref="AB1:AC1"/>
    <mergeCell ref="M1:N1"/>
    <mergeCell ref="O1:P1"/>
    <mergeCell ref="BH1:BI1"/>
    <mergeCell ref="BJ1:BK1"/>
    <mergeCell ref="BA1:BD1"/>
    <mergeCell ref="AW1:AZ1"/>
    <mergeCell ref="AS1:AV1"/>
    <mergeCell ref="F1:G1"/>
    <mergeCell ref="H1:I1"/>
    <mergeCell ref="S1:T1"/>
    <mergeCell ref="U1:V1"/>
    <mergeCell ref="Z1:AA1"/>
    <mergeCell ref="AK17:AK23"/>
    <mergeCell ref="AS2:AT2"/>
    <mergeCell ref="AF1:AG1"/>
    <mergeCell ref="AH1:AI1"/>
    <mergeCell ref="AM1:AN1"/>
    <mergeCell ref="AO1:AP1"/>
    <mergeCell ref="BA2:BB2"/>
    <mergeCell ref="BC2:BD2"/>
    <mergeCell ref="AK3:AK9"/>
    <mergeCell ref="AK10:AK16"/>
    <mergeCell ref="AU2:AV2"/>
    <mergeCell ref="AW2:AX2"/>
    <mergeCell ref="AY2:AZ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workbookViewId="0">
      <selection activeCell="B3" sqref="B3"/>
    </sheetView>
  </sheetViews>
  <sheetFormatPr defaultRowHeight="17.399999999999999" x14ac:dyDescent="0.4"/>
  <cols>
    <col min="1" max="1" width="10.3984375" bestFit="1" customWidth="1"/>
    <col min="2" max="2" width="12.3984375" bestFit="1" customWidth="1"/>
    <col min="3" max="7" width="9" bestFit="1" customWidth="1"/>
    <col min="8" max="8" width="9.296875" bestFit="1" customWidth="1"/>
    <col min="9" max="12" width="9" bestFit="1" customWidth="1"/>
    <col min="13" max="13" width="9.19921875" bestFit="1" customWidth="1"/>
    <col min="14" max="14" width="8.8984375" bestFit="1" customWidth="1"/>
  </cols>
  <sheetData>
    <row r="1" spans="1:15" x14ac:dyDescent="0.4">
      <c r="A1" s="3" t="s">
        <v>0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55</v>
      </c>
      <c r="N1" s="3" t="s">
        <v>93</v>
      </c>
      <c r="O1" s="3" t="s">
        <v>129</v>
      </c>
    </row>
    <row r="2" spans="1:15" x14ac:dyDescent="0.4">
      <c r="A2" s="3" t="s">
        <v>1</v>
      </c>
      <c r="B2" s="8">
        <v>282884</v>
      </c>
      <c r="C2" s="8">
        <v>1130</v>
      </c>
      <c r="D2" s="8">
        <v>619</v>
      </c>
      <c r="E2" s="8">
        <v>2824</v>
      </c>
      <c r="F2" s="8">
        <v>5265</v>
      </c>
      <c r="G2" s="8">
        <v>18083</v>
      </c>
      <c r="H2" s="8">
        <v>529820</v>
      </c>
      <c r="I2" s="8">
        <v>36120</v>
      </c>
      <c r="J2" s="8">
        <v>9998</v>
      </c>
      <c r="K2" s="8">
        <v>180</v>
      </c>
      <c r="L2" s="8">
        <v>6000</v>
      </c>
      <c r="M2" s="8">
        <v>160246</v>
      </c>
      <c r="N2" s="8">
        <v>6471</v>
      </c>
      <c r="O2" s="6">
        <v>0.65087053580777399</v>
      </c>
    </row>
    <row r="3" spans="1:15" x14ac:dyDescent="0.4">
      <c r="A3" s="3" t="s">
        <v>133</v>
      </c>
      <c r="B3" s="8">
        <v>1475</v>
      </c>
      <c r="C3" s="8">
        <v>1</v>
      </c>
      <c r="D3" s="8">
        <v>22</v>
      </c>
      <c r="E3" s="8">
        <v>19</v>
      </c>
      <c r="F3" s="8">
        <v>52</v>
      </c>
      <c r="G3" s="8">
        <v>56</v>
      </c>
      <c r="H3" s="8">
        <v>3084</v>
      </c>
      <c r="I3" s="8">
        <v>197</v>
      </c>
      <c r="J3" s="8">
        <v>6</v>
      </c>
      <c r="K3" s="8">
        <v>1</v>
      </c>
      <c r="L3" s="8">
        <v>253</v>
      </c>
      <c r="M3" s="8">
        <v>963</v>
      </c>
      <c r="N3" s="8">
        <v>39</v>
      </c>
      <c r="O3" s="6">
        <v>0.61857632280167496</v>
      </c>
    </row>
    <row r="6" spans="1:15" x14ac:dyDescent="0.4">
      <c r="A6" s="3" t="s">
        <v>0</v>
      </c>
      <c r="B6" s="3" t="s">
        <v>118</v>
      </c>
      <c r="C6" s="3" t="s">
        <v>119</v>
      </c>
      <c r="D6" s="3" t="s">
        <v>120</v>
      </c>
      <c r="E6" s="3" t="s">
        <v>121</v>
      </c>
      <c r="F6" s="3" t="s">
        <v>122</v>
      </c>
      <c r="G6" s="3" t="s">
        <v>123</v>
      </c>
      <c r="H6" s="3"/>
    </row>
    <row r="7" spans="1:15" x14ac:dyDescent="0.4">
      <c r="A7" s="3" t="s">
        <v>130</v>
      </c>
      <c r="B7" s="6">
        <v>0.91016553787744703</v>
      </c>
      <c r="C7" s="6">
        <v>3.6357201460722999E-3</v>
      </c>
      <c r="D7" s="6">
        <v>1.99160245169801E-3</v>
      </c>
      <c r="E7" s="6">
        <v>9.0860829137240397E-3</v>
      </c>
      <c r="F7" s="6">
        <v>1.69398819195315E-2</v>
      </c>
      <c r="G7" s="6">
        <v>5.8181174691526803E-2</v>
      </c>
      <c r="H7" s="6">
        <v>0.65087053580777399</v>
      </c>
    </row>
    <row r="8" spans="1:15" x14ac:dyDescent="0.4">
      <c r="A8" s="3" t="s">
        <v>131</v>
      </c>
      <c r="B8" s="6">
        <v>0.90769230769230802</v>
      </c>
      <c r="C8" s="6">
        <v>6.1538461538461497E-4</v>
      </c>
      <c r="D8" s="6">
        <v>1.3538461538461499E-2</v>
      </c>
      <c r="E8" s="6">
        <v>1.16923076923077E-2</v>
      </c>
      <c r="F8" s="6">
        <v>3.2000000000000001E-2</v>
      </c>
      <c r="G8" s="6">
        <v>3.4461538461538502E-2</v>
      </c>
      <c r="H8" s="6">
        <v>0.61857632280167496</v>
      </c>
    </row>
    <row r="11" spans="1:15" x14ac:dyDescent="0.4">
      <c r="A11" s="3"/>
      <c r="B11" s="9" t="s">
        <v>134</v>
      </c>
      <c r="C11" s="9"/>
      <c r="D11" s="9"/>
      <c r="E11" s="9"/>
      <c r="F11" s="9"/>
      <c r="G11" s="9"/>
      <c r="H11" s="9"/>
      <c r="I11" s="9" t="s">
        <v>132</v>
      </c>
      <c r="J11" s="9"/>
      <c r="K11" s="9"/>
      <c r="L11" s="9"/>
      <c r="M11" s="9"/>
      <c r="N11" s="9"/>
      <c r="O11" s="9"/>
    </row>
    <row r="12" spans="1:15" x14ac:dyDescent="0.4">
      <c r="A12" s="3" t="s">
        <v>5</v>
      </c>
      <c r="B12" s="3" t="s">
        <v>118</v>
      </c>
      <c r="C12" s="3" t="s">
        <v>119</v>
      </c>
      <c r="D12" s="3" t="s">
        <v>120</v>
      </c>
      <c r="E12" s="3" t="s">
        <v>121</v>
      </c>
      <c r="F12" s="3" t="s">
        <v>122</v>
      </c>
      <c r="G12" s="3" t="s">
        <v>123</v>
      </c>
      <c r="H12" s="3" t="s">
        <v>129</v>
      </c>
      <c r="I12" s="3" t="s">
        <v>118</v>
      </c>
      <c r="J12" s="3" t="s">
        <v>119</v>
      </c>
      <c r="K12" s="3" t="s">
        <v>120</v>
      </c>
      <c r="L12" s="3" t="s">
        <v>121</v>
      </c>
      <c r="M12" s="3" t="s">
        <v>122</v>
      </c>
      <c r="N12" s="3" t="s">
        <v>123</v>
      </c>
      <c r="O12" s="3" t="s">
        <v>129</v>
      </c>
    </row>
    <row r="13" spans="1:15" x14ac:dyDescent="0.4">
      <c r="A13" s="3" t="s">
        <v>14</v>
      </c>
      <c r="B13" s="6">
        <v>0.89789932014360996</v>
      </c>
      <c r="C13" s="6">
        <v>2.9485906347872601E-3</v>
      </c>
      <c r="D13" s="6">
        <v>3.0555343365671103E-5</v>
      </c>
      <c r="E13" s="6">
        <v>1.03582614009625E-2</v>
      </c>
      <c r="F13" s="6">
        <v>1.6056832938660101E-2</v>
      </c>
      <c r="G13" s="6">
        <v>7.2706439538614304E-2</v>
      </c>
      <c r="H13" s="6">
        <v>0.67317680211450803</v>
      </c>
      <c r="I13" s="6">
        <v>0.89694656488549596</v>
      </c>
      <c r="J13" s="6">
        <v>0</v>
      </c>
      <c r="K13" s="6">
        <v>0</v>
      </c>
      <c r="L13" s="6">
        <v>1.5267175572519101E-2</v>
      </c>
      <c r="M13" s="6">
        <v>1.9083969465648901E-2</v>
      </c>
      <c r="N13" s="6">
        <v>6.8702290076335895E-2</v>
      </c>
      <c r="O13" s="6">
        <v>0.68051948051948097</v>
      </c>
    </row>
    <row r="14" spans="1:15" x14ac:dyDescent="0.4">
      <c r="A14" s="3" t="s">
        <v>13</v>
      </c>
      <c r="B14" s="6">
        <v>0.92056538270788602</v>
      </c>
      <c r="C14" s="6">
        <v>9.0924119689204802E-3</v>
      </c>
      <c r="D14" s="6">
        <v>8.2658290626549797E-5</v>
      </c>
      <c r="E14" s="6">
        <v>2.8930401719292399E-3</v>
      </c>
      <c r="F14" s="6">
        <v>2.0581914366010898E-2</v>
      </c>
      <c r="G14" s="6">
        <v>4.67845924946272E-2</v>
      </c>
      <c r="H14" s="6">
        <v>0.59584318360914101</v>
      </c>
      <c r="I14" s="6">
        <v>0.92063492063492103</v>
      </c>
      <c r="J14" s="6">
        <v>0</v>
      </c>
      <c r="K14" s="6">
        <v>0</v>
      </c>
      <c r="L14" s="6">
        <v>0</v>
      </c>
      <c r="M14" s="6">
        <v>5.5555555555555601E-2</v>
      </c>
      <c r="N14" s="6">
        <v>2.3809523809523801E-2</v>
      </c>
      <c r="O14" s="6">
        <v>0.602870813397129</v>
      </c>
    </row>
    <row r="15" spans="1:15" x14ac:dyDescent="0.4">
      <c r="A15" s="3" t="s">
        <v>11</v>
      </c>
      <c r="B15" s="6">
        <v>0.93076923076923102</v>
      </c>
      <c r="C15" s="6">
        <v>1.1188811188811199E-2</v>
      </c>
      <c r="D15" s="6">
        <v>1.46853146853147E-3</v>
      </c>
      <c r="E15" s="6">
        <v>6.9230769230769198E-3</v>
      </c>
      <c r="F15" s="6">
        <v>1.53146853146853E-2</v>
      </c>
      <c r="G15" s="6">
        <v>3.4335664335664297E-2</v>
      </c>
      <c r="H15" s="6">
        <v>0.63431511710432897</v>
      </c>
      <c r="I15" s="6">
        <v>0.93220338983050799</v>
      </c>
      <c r="J15" s="6">
        <v>0</v>
      </c>
      <c r="K15" s="6">
        <v>1.6949152542372899E-2</v>
      </c>
      <c r="L15" s="6">
        <v>1.6949152542372899E-2</v>
      </c>
      <c r="M15" s="6">
        <v>3.3898305084745797E-2</v>
      </c>
      <c r="N15" s="6">
        <v>0</v>
      </c>
      <c r="O15" s="6">
        <v>0.53153153153153199</v>
      </c>
    </row>
    <row r="16" spans="1:15" x14ac:dyDescent="0.4">
      <c r="A16" s="3" t="s">
        <v>17</v>
      </c>
      <c r="B16" s="6">
        <v>0.91515283367779798</v>
      </c>
      <c r="C16" s="6">
        <v>3.37213096921571E-3</v>
      </c>
      <c r="D16" s="6">
        <v>0</v>
      </c>
      <c r="E16" s="6">
        <v>4.6774719895572702E-3</v>
      </c>
      <c r="F16" s="6">
        <v>1.0769063417817901E-2</v>
      </c>
      <c r="G16" s="6">
        <v>6.6028499945610802E-2</v>
      </c>
      <c r="H16" s="6">
        <v>0.67313465622025304</v>
      </c>
      <c r="I16" s="6">
        <v>0.89473684210526305</v>
      </c>
      <c r="J16" s="6">
        <v>0</v>
      </c>
      <c r="K16" s="6">
        <v>0</v>
      </c>
      <c r="L16" s="6">
        <v>5.2631578947368397E-2</v>
      </c>
      <c r="M16" s="6">
        <v>0</v>
      </c>
      <c r="N16" s="6">
        <v>5.2631578947368397E-2</v>
      </c>
      <c r="O16" s="6">
        <v>0.82608695652173902</v>
      </c>
    </row>
    <row r="17" spans="1:15" x14ac:dyDescent="0.4">
      <c r="A17" s="3" t="s">
        <v>10</v>
      </c>
      <c r="B17" s="6">
        <v>0.91812911313068002</v>
      </c>
      <c r="C17" s="6">
        <v>2.1936696960200598E-3</v>
      </c>
      <c r="D17" s="6">
        <v>1.8802883108743299E-3</v>
      </c>
      <c r="E17" s="6">
        <v>1.4572234409276101E-2</v>
      </c>
      <c r="F17" s="6">
        <v>1.8802883108743298E-2</v>
      </c>
      <c r="G17" s="6">
        <v>4.4421811344406099E-2</v>
      </c>
      <c r="H17" s="6">
        <v>0.64591872880927104</v>
      </c>
      <c r="I17" s="6">
        <v>0.92647058823529405</v>
      </c>
      <c r="J17" s="6">
        <v>0</v>
      </c>
      <c r="K17" s="6">
        <v>0</v>
      </c>
      <c r="L17" s="6">
        <v>1.4705882352941201E-2</v>
      </c>
      <c r="M17" s="6">
        <v>0</v>
      </c>
      <c r="N17" s="6">
        <v>5.8823529411764698E-2</v>
      </c>
      <c r="O17" s="6">
        <v>0.60176991150442505</v>
      </c>
    </row>
    <row r="18" spans="1:15" x14ac:dyDescent="0.4">
      <c r="A18" s="3" t="s">
        <v>12</v>
      </c>
      <c r="B18" s="6">
        <v>0.92870588235294105</v>
      </c>
      <c r="C18" s="6">
        <v>5.0000000000000001E-3</v>
      </c>
      <c r="D18" s="6">
        <v>4.1176470588235301E-4</v>
      </c>
      <c r="E18" s="6">
        <v>9.3529411764705899E-3</v>
      </c>
      <c r="F18" s="6">
        <v>1.2823529411764701E-2</v>
      </c>
      <c r="G18" s="6">
        <v>4.3705882352941199E-2</v>
      </c>
      <c r="H18" s="6">
        <v>0.67332065906210403</v>
      </c>
      <c r="I18" s="6">
        <v>0.96721311475409799</v>
      </c>
      <c r="J18" s="6">
        <v>0</v>
      </c>
      <c r="K18" s="6">
        <v>0</v>
      </c>
      <c r="L18" s="6">
        <v>1.63934426229508E-2</v>
      </c>
      <c r="M18" s="6">
        <v>0</v>
      </c>
      <c r="N18" s="6">
        <v>1.63934426229508E-2</v>
      </c>
      <c r="O18" s="6">
        <v>0.58653846153846201</v>
      </c>
    </row>
    <row r="19" spans="1:15" x14ac:dyDescent="0.4">
      <c r="A19" s="3" t="s">
        <v>16</v>
      </c>
      <c r="B19" s="6">
        <v>0.95163618864292598</v>
      </c>
      <c r="C19" s="6">
        <v>1.68431183830606E-3</v>
      </c>
      <c r="D19" s="6">
        <v>4.8123195380173197E-4</v>
      </c>
      <c r="E19" s="6">
        <v>1.2512030798844999E-2</v>
      </c>
      <c r="F19" s="6">
        <v>9.1434071222329192E-3</v>
      </c>
      <c r="G19" s="6">
        <v>2.45428296438884E-2</v>
      </c>
      <c r="H19" s="6">
        <v>0.66763052208835305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0.65</v>
      </c>
    </row>
    <row r="20" spans="1:15" x14ac:dyDescent="0.4">
      <c r="A20" s="3" t="s">
        <v>15</v>
      </c>
      <c r="B20" s="6">
        <v>0.84343003412969297</v>
      </c>
      <c r="C20" s="6">
        <v>0</v>
      </c>
      <c r="D20" s="6">
        <v>0</v>
      </c>
      <c r="E20" s="6">
        <v>1.6638225255972701E-2</v>
      </c>
      <c r="F20" s="6">
        <v>2.0051194539249102E-2</v>
      </c>
      <c r="G20" s="6">
        <v>0.119880546075085</v>
      </c>
      <c r="H20" s="6">
        <v>0.64026222343621997</v>
      </c>
      <c r="I20" s="6">
        <v>0.88888888888888895</v>
      </c>
      <c r="J20" s="6">
        <v>0</v>
      </c>
      <c r="K20" s="6">
        <v>0</v>
      </c>
      <c r="L20" s="6">
        <v>0</v>
      </c>
      <c r="M20" s="6">
        <v>0</v>
      </c>
      <c r="N20" s="6">
        <v>0.11111111111111099</v>
      </c>
      <c r="O20" s="6">
        <v>0.64285714285714302</v>
      </c>
    </row>
    <row r="21" spans="1:15" x14ac:dyDescent="0.4">
      <c r="A21" s="3" t="s">
        <v>7</v>
      </c>
      <c r="B21" s="6">
        <v>0.88536624862803004</v>
      </c>
      <c r="C21" s="6">
        <v>1.9792360148982498E-3</v>
      </c>
      <c r="D21" s="6">
        <v>4.1384025766054298E-4</v>
      </c>
      <c r="E21" s="6">
        <v>1.77771380247225E-2</v>
      </c>
      <c r="F21" s="6">
        <v>1.48982492757795E-2</v>
      </c>
      <c r="G21" s="6">
        <v>7.9565287798909604E-2</v>
      </c>
      <c r="H21" s="6">
        <v>0.66018483322246502</v>
      </c>
      <c r="I21" s="6">
        <v>0.91698113207547205</v>
      </c>
      <c r="J21" s="6">
        <v>0</v>
      </c>
      <c r="K21" s="6">
        <v>7.5471698113207496E-3</v>
      </c>
      <c r="L21" s="6">
        <v>1.5094339622641499E-2</v>
      </c>
      <c r="M21" s="6">
        <v>2.2641509433962301E-2</v>
      </c>
      <c r="N21" s="6">
        <v>3.77358490566038E-2</v>
      </c>
      <c r="O21" s="6">
        <v>0.62206572769953095</v>
      </c>
    </row>
    <row r="22" spans="1:15" x14ac:dyDescent="0.4">
      <c r="A22" s="3" t="s">
        <v>6</v>
      </c>
      <c r="B22" s="6">
        <v>0.92647769367047805</v>
      </c>
      <c r="C22" s="6">
        <v>2.1742631663713998E-3</v>
      </c>
      <c r="D22" s="6">
        <v>1.2079239813174399E-3</v>
      </c>
      <c r="E22" s="6">
        <v>7.2475438879046497E-4</v>
      </c>
      <c r="F22" s="6">
        <v>1.6588822676759499E-2</v>
      </c>
      <c r="G22" s="6">
        <v>5.28265421162828E-2</v>
      </c>
      <c r="H22" s="6">
        <v>0.64112757499096495</v>
      </c>
      <c r="I22" s="6">
        <v>0.84415584415584399</v>
      </c>
      <c r="J22" s="6">
        <v>0</v>
      </c>
      <c r="K22" s="6">
        <v>0</v>
      </c>
      <c r="L22" s="6">
        <v>0</v>
      </c>
      <c r="M22" s="6">
        <v>7.7922077922077906E-2</v>
      </c>
      <c r="N22" s="6">
        <v>7.7922077922077906E-2</v>
      </c>
      <c r="O22" s="6">
        <v>0.64705882352941202</v>
      </c>
    </row>
    <row r="23" spans="1:15" x14ac:dyDescent="0.4">
      <c r="A23" s="3" t="s">
        <v>22</v>
      </c>
      <c r="B23" s="6">
        <v>0.92202380952381002</v>
      </c>
      <c r="C23" s="6">
        <v>3.3482142857142899E-3</v>
      </c>
      <c r="D23" s="6">
        <v>8.1845238095238097E-4</v>
      </c>
      <c r="E23" s="6">
        <v>5.0595238095238098E-3</v>
      </c>
      <c r="F23" s="6">
        <v>1.7038690476190499E-2</v>
      </c>
      <c r="G23" s="6">
        <v>5.17113095238095E-2</v>
      </c>
      <c r="H23" s="6">
        <v>0.64457340175531197</v>
      </c>
      <c r="I23" s="6">
        <v>0.90909090909090895</v>
      </c>
      <c r="J23" s="6">
        <v>0</v>
      </c>
      <c r="K23" s="6">
        <v>1.5151515151515201E-2</v>
      </c>
      <c r="L23" s="6">
        <v>1.5151515151515201E-2</v>
      </c>
      <c r="M23" s="6">
        <v>6.0606060606060601E-2</v>
      </c>
      <c r="N23" s="6">
        <v>0</v>
      </c>
      <c r="O23" s="6">
        <v>0.55000000000000004</v>
      </c>
    </row>
    <row r="24" spans="1:15" x14ac:dyDescent="0.4">
      <c r="A24" s="3" t="s">
        <v>21</v>
      </c>
      <c r="B24" s="6">
        <v>0.90885615914307605</v>
      </c>
      <c r="C24" s="6">
        <v>2.6778882938026001E-3</v>
      </c>
      <c r="D24" s="6">
        <v>4.0646518745218099E-3</v>
      </c>
      <c r="E24" s="6">
        <v>6.2643458301453701E-3</v>
      </c>
      <c r="F24" s="6">
        <v>1.36285386381025E-2</v>
      </c>
      <c r="G24" s="6">
        <v>6.4508416220352E-2</v>
      </c>
      <c r="H24" s="6">
        <v>0.656618939964833</v>
      </c>
      <c r="I24" s="6">
        <v>0.95683453237410099</v>
      </c>
      <c r="J24" s="6">
        <v>0</v>
      </c>
      <c r="K24" s="6">
        <v>7.1942446043165497E-3</v>
      </c>
      <c r="L24" s="6">
        <v>7.1942446043165497E-3</v>
      </c>
      <c r="M24" s="6">
        <v>2.15827338129496E-2</v>
      </c>
      <c r="N24" s="6">
        <v>7.1942446043165497E-3</v>
      </c>
      <c r="O24" s="6">
        <v>0.65566037735849103</v>
      </c>
    </row>
    <row r="25" spans="1:15" x14ac:dyDescent="0.4">
      <c r="A25" s="3" t="s">
        <v>19</v>
      </c>
      <c r="B25" s="6">
        <v>0.90479900280461201</v>
      </c>
      <c r="C25" s="6">
        <v>2.80461202866937E-3</v>
      </c>
      <c r="D25" s="6">
        <v>1.6438142723589899E-2</v>
      </c>
      <c r="E25" s="6">
        <v>5.3755063882829496E-3</v>
      </c>
      <c r="F25" s="6">
        <v>2.3449672795263301E-2</v>
      </c>
      <c r="G25" s="6">
        <v>4.71330632595824E-2</v>
      </c>
      <c r="H25" s="6">
        <v>0.642699779691568</v>
      </c>
      <c r="I25" s="6">
        <v>0.82692307692307698</v>
      </c>
      <c r="J25" s="6">
        <v>9.6153846153846194E-3</v>
      </c>
      <c r="K25" s="6">
        <v>9.6153846153846201E-2</v>
      </c>
      <c r="L25" s="6">
        <v>1.9230769230769201E-2</v>
      </c>
      <c r="M25" s="6">
        <v>9.6153846153846194E-3</v>
      </c>
      <c r="N25" s="6">
        <v>3.8461538461538498E-2</v>
      </c>
      <c r="O25" s="6">
        <v>0.66666666666666696</v>
      </c>
    </row>
    <row r="26" spans="1:15" x14ac:dyDescent="0.4">
      <c r="A26" s="3" t="s">
        <v>18</v>
      </c>
      <c r="B26" s="6">
        <v>0.91982011626631599</v>
      </c>
      <c r="C26" s="6">
        <v>5.4842601733026198E-4</v>
      </c>
      <c r="D26" s="6">
        <v>9.5426127015465594E-3</v>
      </c>
      <c r="E26" s="6">
        <v>4.6067785455742001E-3</v>
      </c>
      <c r="F26" s="6">
        <v>2.6653504442250699E-2</v>
      </c>
      <c r="G26" s="6">
        <v>3.8828562026982601E-2</v>
      </c>
      <c r="H26" s="6">
        <v>0.67408502772643297</v>
      </c>
      <c r="I26" s="6">
        <v>0.90816326530612201</v>
      </c>
      <c r="J26" s="6">
        <v>0</v>
      </c>
      <c r="K26" s="6">
        <v>4.08163265306122E-2</v>
      </c>
      <c r="L26" s="6">
        <v>0</v>
      </c>
      <c r="M26" s="6">
        <v>4.08163265306122E-2</v>
      </c>
      <c r="N26" s="6">
        <v>1.02040816326531E-2</v>
      </c>
      <c r="O26" s="6">
        <v>0.64473684210526305</v>
      </c>
    </row>
    <row r="27" spans="1:15" x14ac:dyDescent="0.4">
      <c r="A27" s="3" t="s">
        <v>9</v>
      </c>
      <c r="B27" s="6">
        <v>0.92508329366968101</v>
      </c>
      <c r="C27" s="6">
        <v>3.0937648738695901E-3</v>
      </c>
      <c r="D27" s="6">
        <v>4.0456925273679202E-3</v>
      </c>
      <c r="E27" s="6">
        <v>6.0447405997144203E-3</v>
      </c>
      <c r="F27" s="6">
        <v>2.3084245597334602E-2</v>
      </c>
      <c r="G27" s="6">
        <v>3.8648262732032403E-2</v>
      </c>
      <c r="H27" s="6">
        <v>0.630287394252115</v>
      </c>
      <c r="I27" s="6">
        <v>0.86363636363636398</v>
      </c>
      <c r="J27" s="6">
        <v>0</v>
      </c>
      <c r="K27" s="6">
        <v>1.2987012987013E-2</v>
      </c>
      <c r="L27" s="6">
        <v>1.9480519480519501E-2</v>
      </c>
      <c r="M27" s="6">
        <v>7.1428571428571397E-2</v>
      </c>
      <c r="N27" s="6">
        <v>3.2467532467532499E-2</v>
      </c>
      <c r="O27" s="6">
        <v>0.56617647058823495</v>
      </c>
    </row>
    <row r="28" spans="1:15" x14ac:dyDescent="0.4">
      <c r="A28" s="3" t="s">
        <v>8</v>
      </c>
      <c r="B28" s="6">
        <v>0.94431606410734203</v>
      </c>
      <c r="C28" s="6">
        <v>4.09988818486769E-3</v>
      </c>
      <c r="D28" s="6">
        <v>1.34178158777488E-3</v>
      </c>
      <c r="E28" s="6">
        <v>4.7707789787551202E-3</v>
      </c>
      <c r="F28" s="6">
        <v>1.7070443533358199E-2</v>
      </c>
      <c r="G28" s="6">
        <v>2.8401043607901601E-2</v>
      </c>
      <c r="H28" s="6">
        <v>0.62972351312021801</v>
      </c>
      <c r="I28" s="6">
        <v>0.936708860759494</v>
      </c>
      <c r="J28" s="6">
        <v>0</v>
      </c>
      <c r="K28" s="6">
        <v>1.26582278481013E-2</v>
      </c>
      <c r="L28" s="6">
        <v>0</v>
      </c>
      <c r="M28" s="6">
        <v>3.7974683544303799E-2</v>
      </c>
      <c r="N28" s="6">
        <v>1.26582278481013E-2</v>
      </c>
      <c r="O28" s="6">
        <v>0.53020134228187898</v>
      </c>
    </row>
    <row r="29" spans="1:15" x14ac:dyDescent="0.4">
      <c r="A29" s="3" t="s">
        <v>20</v>
      </c>
      <c r="B29" s="6">
        <v>0.921781437125748</v>
      </c>
      <c r="C29" s="6">
        <v>2.6197604790419199E-3</v>
      </c>
      <c r="D29" s="6">
        <v>9.7305389221556907E-3</v>
      </c>
      <c r="E29" s="6">
        <v>0</v>
      </c>
      <c r="F29" s="6">
        <v>1.8338323353293402E-2</v>
      </c>
      <c r="G29" s="6">
        <v>4.75299401197605E-2</v>
      </c>
      <c r="H29" s="6">
        <v>0.63634198618718696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0.61904761904761896</v>
      </c>
    </row>
    <row r="32" spans="1:15" x14ac:dyDescent="0.4">
      <c r="A32" s="3"/>
      <c r="B32" s="9" t="s">
        <v>134</v>
      </c>
      <c r="C32" s="9"/>
      <c r="D32" s="9"/>
      <c r="E32" s="9"/>
      <c r="F32" s="9"/>
      <c r="G32" s="9"/>
      <c r="H32" s="9"/>
      <c r="I32" s="9" t="s">
        <v>132</v>
      </c>
      <c r="J32" s="9"/>
      <c r="K32" s="9"/>
      <c r="L32" s="9"/>
      <c r="M32" s="9"/>
      <c r="N32" s="9"/>
      <c r="O32" s="9"/>
    </row>
    <row r="33" spans="1:15" x14ac:dyDescent="0.4">
      <c r="A33" s="3" t="s">
        <v>135</v>
      </c>
      <c r="B33" s="3" t="s">
        <v>118</v>
      </c>
      <c r="C33" s="3" t="s">
        <v>119</v>
      </c>
      <c r="D33" s="3" t="s">
        <v>120</v>
      </c>
      <c r="E33" s="3" t="s">
        <v>121</v>
      </c>
      <c r="F33" s="3" t="s">
        <v>122</v>
      </c>
      <c r="G33" s="3" t="s">
        <v>123</v>
      </c>
      <c r="H33" s="3" t="s">
        <v>129</v>
      </c>
      <c r="I33" s="3" t="s">
        <v>118</v>
      </c>
      <c r="J33" s="3" t="s">
        <v>119</v>
      </c>
      <c r="K33" s="3" t="s">
        <v>120</v>
      </c>
      <c r="L33" s="3" t="s">
        <v>121</v>
      </c>
      <c r="M33" s="3" t="s">
        <v>122</v>
      </c>
      <c r="N33" s="3" t="s">
        <v>123</v>
      </c>
      <c r="O33" s="3" t="s">
        <v>129</v>
      </c>
    </row>
    <row r="34" spans="1:15" x14ac:dyDescent="0.4">
      <c r="A34" s="3" t="s">
        <v>27</v>
      </c>
      <c r="B34" s="6">
        <v>0.93200313460727002</v>
      </c>
      <c r="C34" s="6">
        <v>3.4159181787128002E-3</v>
      </c>
      <c r="D34" s="6">
        <v>4.2799445415636897E-3</v>
      </c>
      <c r="E34" s="6">
        <v>1.74814636204714E-3</v>
      </c>
      <c r="F34" s="6">
        <v>1.36837663511966E-2</v>
      </c>
      <c r="G34" s="6">
        <v>4.48690899592099E-2</v>
      </c>
      <c r="H34" s="6">
        <v>0.61281107239167099</v>
      </c>
      <c r="I34" s="6">
        <v>0.94285714285714295</v>
      </c>
      <c r="J34" s="6">
        <v>0</v>
      </c>
      <c r="K34" s="6">
        <v>9.5238095238095195E-3</v>
      </c>
      <c r="L34" s="6">
        <v>0</v>
      </c>
      <c r="M34" s="6">
        <v>2.2222222222222199E-2</v>
      </c>
      <c r="N34" s="6">
        <v>2.53968253968254E-2</v>
      </c>
      <c r="O34" s="6">
        <v>0.689277899343545</v>
      </c>
    </row>
    <row r="35" spans="1:15" x14ac:dyDescent="0.4">
      <c r="A35" s="3" t="s">
        <v>28</v>
      </c>
      <c r="B35" s="6">
        <v>0.92004153686396695</v>
      </c>
      <c r="C35" s="6">
        <v>2.0768431983385302E-3</v>
      </c>
      <c r="D35" s="6">
        <v>1.14226375908619E-2</v>
      </c>
      <c r="E35" s="6">
        <v>7.6150917272412603E-3</v>
      </c>
      <c r="F35" s="6">
        <v>1.7307026652820998E-2</v>
      </c>
      <c r="G35" s="6">
        <v>4.1536863966770497E-2</v>
      </c>
      <c r="H35" s="6">
        <v>0.66490218642117405</v>
      </c>
      <c r="I35" s="6">
        <v>0.90909090909090895</v>
      </c>
      <c r="J35" s="6">
        <v>0</v>
      </c>
      <c r="K35" s="6">
        <v>4.5454545454545497E-2</v>
      </c>
      <c r="L35" s="6">
        <v>4.5454545454545497E-2</v>
      </c>
      <c r="M35" s="6">
        <v>0</v>
      </c>
      <c r="N35" s="6">
        <v>0</v>
      </c>
      <c r="O35" s="6">
        <v>0.57894736842105299</v>
      </c>
    </row>
    <row r="36" spans="1:15" x14ac:dyDescent="0.4">
      <c r="A36" s="3" t="s">
        <v>29</v>
      </c>
      <c r="B36" s="6">
        <v>0.90584507396890901</v>
      </c>
      <c r="C36" s="6">
        <v>3.69554017253602E-3</v>
      </c>
      <c r="D36" s="6">
        <v>1.4449019752158601E-3</v>
      </c>
      <c r="E36" s="6">
        <v>1.0517181937563199E-2</v>
      </c>
      <c r="F36" s="6">
        <v>1.7563500149138701E-2</v>
      </c>
      <c r="G36" s="6">
        <v>6.0933801796636801E-2</v>
      </c>
      <c r="H36" s="6">
        <v>0.65860049085890104</v>
      </c>
      <c r="I36" s="6">
        <v>0.89906832298136596</v>
      </c>
      <c r="J36" s="6">
        <v>7.7639751552795004E-4</v>
      </c>
      <c r="K36" s="6">
        <v>1.3975155279503101E-2</v>
      </c>
      <c r="L36" s="6">
        <v>1.3975155279503101E-2</v>
      </c>
      <c r="M36" s="6">
        <v>3.4937888198757802E-2</v>
      </c>
      <c r="N36" s="6">
        <v>3.7267080745341602E-2</v>
      </c>
      <c r="O36" s="6">
        <v>0.604127579737336</v>
      </c>
    </row>
    <row r="40" spans="1:15" x14ac:dyDescent="0.4">
      <c r="A40" s="3"/>
      <c r="B40" s="9" t="s">
        <v>134</v>
      </c>
      <c r="C40" s="9"/>
      <c r="D40" s="9"/>
      <c r="E40" s="9"/>
      <c r="F40" s="9"/>
      <c r="G40" s="9"/>
      <c r="H40" s="9"/>
      <c r="I40" s="9" t="s">
        <v>132</v>
      </c>
      <c r="J40" s="9"/>
      <c r="K40" s="9"/>
      <c r="L40" s="9"/>
      <c r="M40" s="9"/>
      <c r="N40" s="9"/>
      <c r="O40" s="9"/>
    </row>
    <row r="41" spans="1:15" x14ac:dyDescent="0.4">
      <c r="A41" s="3" t="s">
        <v>40</v>
      </c>
      <c r="B41" s="3" t="s">
        <v>118</v>
      </c>
      <c r="C41" s="3" t="s">
        <v>119</v>
      </c>
      <c r="D41" s="3" t="s">
        <v>120</v>
      </c>
      <c r="E41" s="3" t="s">
        <v>121</v>
      </c>
      <c r="F41" s="3" t="s">
        <v>122</v>
      </c>
      <c r="G41" s="3" t="s">
        <v>123</v>
      </c>
      <c r="H41" s="3" t="s">
        <v>129</v>
      </c>
      <c r="I41" s="3" t="s">
        <v>118</v>
      </c>
      <c r="J41" s="3" t="s">
        <v>119</v>
      </c>
      <c r="K41" s="3" t="s">
        <v>120</v>
      </c>
      <c r="L41" s="3" t="s">
        <v>121</v>
      </c>
      <c r="M41" s="3" t="s">
        <v>122</v>
      </c>
      <c r="N41" s="3" t="s">
        <v>123</v>
      </c>
      <c r="O41" s="3" t="s">
        <v>129</v>
      </c>
    </row>
    <row r="42" spans="1:15" x14ac:dyDescent="0.4">
      <c r="A42" s="3" t="s">
        <v>41</v>
      </c>
      <c r="B42" s="6">
        <v>0.86292942218722302</v>
      </c>
      <c r="C42" s="6">
        <v>1.10247071562162E-2</v>
      </c>
      <c r="D42" s="6">
        <v>6.3982675460183102E-4</v>
      </c>
      <c r="E42" s="6">
        <v>2.1655674771138898E-3</v>
      </c>
      <c r="F42" s="6">
        <v>2.1261935229845499E-2</v>
      </c>
      <c r="G42" s="6">
        <v>0.10197854119499999</v>
      </c>
      <c r="H42" s="6">
        <v>0.53438889035006998</v>
      </c>
      <c r="I42" s="6">
        <v>0.9140625</v>
      </c>
      <c r="J42" s="6">
        <v>0</v>
      </c>
      <c r="K42" s="6">
        <v>0</v>
      </c>
      <c r="L42" s="6">
        <v>1.5625E-2</v>
      </c>
      <c r="M42" s="6">
        <v>1.5625E-2</v>
      </c>
      <c r="N42" s="6">
        <v>5.46875E-2</v>
      </c>
      <c r="O42" s="6">
        <v>0.57399103139013496</v>
      </c>
    </row>
    <row r="43" spans="1:15" x14ac:dyDescent="0.4">
      <c r="A43" s="3" t="s">
        <v>42</v>
      </c>
      <c r="B43" s="6">
        <v>0.91507091220131298</v>
      </c>
      <c r="C43" s="6">
        <v>3.95949450913305E-3</v>
      </c>
      <c r="D43" s="6">
        <v>2.49710280889576E-3</v>
      </c>
      <c r="E43" s="6">
        <v>9.1054577561944705E-4</v>
      </c>
      <c r="F43" s="6">
        <v>2.1632360245019602E-2</v>
      </c>
      <c r="G43" s="6">
        <v>5.5929584460018798E-2</v>
      </c>
      <c r="H43" s="6">
        <v>0.60856204924983404</v>
      </c>
      <c r="I43" s="6">
        <v>0.90095846645367395</v>
      </c>
      <c r="J43" s="6">
        <v>0</v>
      </c>
      <c r="K43" s="6">
        <v>1.75718849840256E-2</v>
      </c>
      <c r="L43" s="6">
        <v>4.7923322683706103E-3</v>
      </c>
      <c r="M43" s="6">
        <v>4.4728434504792303E-2</v>
      </c>
      <c r="N43" s="6">
        <v>3.19488817891374E-2</v>
      </c>
      <c r="O43" s="6">
        <v>0.60424710424710404</v>
      </c>
    </row>
    <row r="44" spans="1:15" x14ac:dyDescent="0.4">
      <c r="A44" s="3" t="s">
        <v>43</v>
      </c>
      <c r="B44" s="6">
        <v>0.93282839451570099</v>
      </c>
      <c r="C44" s="6">
        <v>3.3171163202123E-4</v>
      </c>
      <c r="D44" s="6">
        <v>6.0813799203892098E-4</v>
      </c>
      <c r="E44" s="6">
        <v>4.6992481203007499E-3</v>
      </c>
      <c r="F44" s="6">
        <v>7.6293675364882798E-3</v>
      </c>
      <c r="G44" s="6">
        <v>5.3903140203449801E-2</v>
      </c>
      <c r="H44" s="6">
        <v>0.62145262145262103</v>
      </c>
      <c r="I44" s="6">
        <v>0.94160583941605802</v>
      </c>
      <c r="J44" s="6">
        <v>0</v>
      </c>
      <c r="K44" s="6">
        <v>0</v>
      </c>
      <c r="L44" s="6">
        <v>0</v>
      </c>
      <c r="M44" s="6">
        <v>2.9197080291970798E-2</v>
      </c>
      <c r="N44" s="6">
        <v>2.9197080291970798E-2</v>
      </c>
      <c r="O44" s="6">
        <v>0.62272727272727302</v>
      </c>
    </row>
    <row r="45" spans="1:15" x14ac:dyDescent="0.4">
      <c r="A45" s="3" t="s">
        <v>44</v>
      </c>
      <c r="B45" s="6">
        <v>0.91017884004679905</v>
      </c>
      <c r="C45" s="6">
        <v>4.6130703660371098E-3</v>
      </c>
      <c r="D45" s="6">
        <v>1.0563262577302401E-2</v>
      </c>
      <c r="E45" s="6">
        <v>2.0056827678422199E-3</v>
      </c>
      <c r="F45" s="6">
        <v>1.7349155941835202E-2</v>
      </c>
      <c r="G45" s="6">
        <v>5.5289988300183897E-2</v>
      </c>
      <c r="H45" s="6">
        <v>0.62342398666249899</v>
      </c>
      <c r="I45" s="6">
        <v>0.876811594202899</v>
      </c>
      <c r="J45" s="6">
        <v>0</v>
      </c>
      <c r="K45" s="6">
        <v>6.5217391304347797E-2</v>
      </c>
      <c r="L45" s="6">
        <v>7.2463768115942004E-3</v>
      </c>
      <c r="M45" s="6">
        <v>3.6231884057971002E-2</v>
      </c>
      <c r="N45" s="6">
        <v>1.4492753623188401E-2</v>
      </c>
      <c r="O45" s="6">
        <v>0.62162162162162204</v>
      </c>
    </row>
    <row r="46" spans="1:15" x14ac:dyDescent="0.4">
      <c r="A46" s="3" t="s">
        <v>45</v>
      </c>
      <c r="B46" s="6">
        <v>0.94706640656193997</v>
      </c>
      <c r="C46" s="6">
        <v>4.0270600180248002E-3</v>
      </c>
      <c r="D46" s="6">
        <v>6.8448612204387597E-4</v>
      </c>
      <c r="E46" s="6">
        <v>2.8748417125842802E-3</v>
      </c>
      <c r="F46" s="6">
        <v>9.7197029330230306E-3</v>
      </c>
      <c r="G46" s="6">
        <v>3.5627502652383701E-2</v>
      </c>
      <c r="H46" s="6">
        <v>0.67674693307186895</v>
      </c>
      <c r="I46" s="6">
        <v>0.95409836065573805</v>
      </c>
      <c r="J46" s="6">
        <v>0</v>
      </c>
      <c r="K46" s="6">
        <v>6.5573770491803296E-3</v>
      </c>
      <c r="L46" s="6">
        <v>3.27868852459016E-3</v>
      </c>
      <c r="M46" s="6">
        <v>1.63934426229508E-2</v>
      </c>
      <c r="N46" s="6">
        <v>1.9672131147540999E-2</v>
      </c>
      <c r="O46" s="6">
        <v>0.65591397849462396</v>
      </c>
    </row>
    <row r="47" spans="1:15" x14ac:dyDescent="0.4">
      <c r="A47" s="3" t="s">
        <v>46</v>
      </c>
      <c r="B47" s="6">
        <v>0.98107387901550602</v>
      </c>
      <c r="C47" s="6">
        <v>7.1340145617826596E-4</v>
      </c>
      <c r="D47" s="6">
        <v>2.3080635346943901E-4</v>
      </c>
      <c r="E47" s="6">
        <v>0</v>
      </c>
      <c r="F47" s="6">
        <v>3.7768312385908199E-3</v>
      </c>
      <c r="G47" s="6">
        <v>1.42050819362555E-2</v>
      </c>
      <c r="H47" s="6">
        <v>0.820928429937129</v>
      </c>
      <c r="I47" s="6">
        <v>0.96491228070175405</v>
      </c>
      <c r="J47" s="6">
        <v>8.7719298245613996E-3</v>
      </c>
      <c r="K47" s="6">
        <v>0</v>
      </c>
      <c r="L47" s="6">
        <v>0</v>
      </c>
      <c r="M47" s="6">
        <v>1.7543859649122799E-2</v>
      </c>
      <c r="N47" s="6">
        <v>8.7719298245613996E-3</v>
      </c>
      <c r="O47" s="6">
        <v>0.79166666666666696</v>
      </c>
    </row>
    <row r="48" spans="1:15" x14ac:dyDescent="0.4">
      <c r="A48" s="3" t="s">
        <v>47</v>
      </c>
      <c r="B48" s="6">
        <v>0.72506054664975195</v>
      </c>
      <c r="C48" s="6">
        <v>2.53719294199054E-3</v>
      </c>
      <c r="D48" s="6">
        <v>7.7845692538346199E-4</v>
      </c>
      <c r="E48" s="6">
        <v>6.6803136893091905E-2</v>
      </c>
      <c r="F48" s="6">
        <v>4.5438819052012497E-2</v>
      </c>
      <c r="G48" s="6">
        <v>0.15938184753776999</v>
      </c>
      <c r="H48" s="6">
        <v>0.62245831912564398</v>
      </c>
      <c r="I48" s="6">
        <v>0.80790960451977401</v>
      </c>
      <c r="J48" s="6">
        <v>0</v>
      </c>
      <c r="K48" s="6">
        <v>0</v>
      </c>
      <c r="L48" s="6">
        <v>6.7796610169491497E-2</v>
      </c>
      <c r="M48" s="6">
        <v>3.3898305084745797E-2</v>
      </c>
      <c r="N48" s="6">
        <v>9.03954802259887E-2</v>
      </c>
      <c r="O48" s="6">
        <v>0.55835962145110396</v>
      </c>
    </row>
    <row r="51" spans="1:15" x14ac:dyDescent="0.4">
      <c r="A51" s="3"/>
      <c r="B51" s="9" t="s">
        <v>134</v>
      </c>
      <c r="C51" s="9"/>
      <c r="D51" s="9"/>
      <c r="E51" s="9"/>
      <c r="F51" s="9"/>
      <c r="G51" s="9"/>
      <c r="H51" s="9"/>
      <c r="I51" s="9" t="s">
        <v>132</v>
      </c>
      <c r="J51" s="9"/>
      <c r="K51" s="9"/>
      <c r="L51" s="9"/>
      <c r="M51" s="9"/>
      <c r="N51" s="9"/>
      <c r="O51" s="9"/>
    </row>
    <row r="52" spans="1:15" x14ac:dyDescent="0.4">
      <c r="A52" s="3" t="s">
        <v>88</v>
      </c>
      <c r="B52" s="3" t="s">
        <v>118</v>
      </c>
      <c r="C52" s="3" t="s">
        <v>119</v>
      </c>
      <c r="D52" s="3" t="s">
        <v>120</v>
      </c>
      <c r="E52" s="3" t="s">
        <v>121</v>
      </c>
      <c r="F52" s="3" t="s">
        <v>122</v>
      </c>
      <c r="G52" s="3" t="s">
        <v>123</v>
      </c>
      <c r="H52" s="3" t="s">
        <v>129</v>
      </c>
      <c r="I52" s="3" t="s">
        <v>118</v>
      </c>
      <c r="J52" s="3" t="s">
        <v>119</v>
      </c>
      <c r="K52" s="3" t="s">
        <v>120</v>
      </c>
      <c r="L52" s="3" t="s">
        <v>121</v>
      </c>
      <c r="M52" s="3" t="s">
        <v>122</v>
      </c>
      <c r="N52" s="3" t="s">
        <v>123</v>
      </c>
      <c r="O52" s="3" t="s">
        <v>129</v>
      </c>
    </row>
    <row r="53" spans="1:15" x14ac:dyDescent="0.4">
      <c r="A53" s="3" t="s">
        <v>91</v>
      </c>
      <c r="B53" s="6">
        <v>0.90066755406987797</v>
      </c>
      <c r="C53" s="6">
        <v>2.9624588408379E-3</v>
      </c>
      <c r="D53" s="6">
        <v>5.25436111972938E-3</v>
      </c>
      <c r="E53" s="6">
        <v>1.79448942622377E-2</v>
      </c>
      <c r="F53" s="6">
        <v>1.62234654763454E-2</v>
      </c>
      <c r="G53" s="6">
        <v>5.6947266230971703E-2</v>
      </c>
      <c r="H53" s="6">
        <v>0.687522793110804</v>
      </c>
      <c r="I53" s="6">
        <v>0.87064676616915404</v>
      </c>
      <c r="J53" s="6">
        <v>1.6583747927031501E-3</v>
      </c>
      <c r="K53" s="6">
        <v>3.4825870646766198E-2</v>
      </c>
      <c r="L53" s="6">
        <v>1.99004975124378E-2</v>
      </c>
      <c r="M53" s="6">
        <v>4.6434494195688202E-2</v>
      </c>
      <c r="N53" s="6">
        <v>2.6533996683250401E-2</v>
      </c>
      <c r="O53" s="6">
        <v>0.57758620689655205</v>
      </c>
    </row>
    <row r="54" spans="1:15" x14ac:dyDescent="0.4">
      <c r="A54" s="3" t="s">
        <v>89</v>
      </c>
      <c r="B54" s="6">
        <v>0.91191355491724801</v>
      </c>
      <c r="C54" s="6">
        <v>4.1198194501436197E-3</v>
      </c>
      <c r="D54" s="6">
        <v>4.4863903706743302E-4</v>
      </c>
      <c r="E54" s="6">
        <v>5.6298727944193699E-3</v>
      </c>
      <c r="F54" s="6">
        <v>1.5932157023663001E-2</v>
      </c>
      <c r="G54" s="6">
        <v>6.1955956777458597E-2</v>
      </c>
      <c r="H54" s="6">
        <v>0.61517205632892602</v>
      </c>
      <c r="I54" s="6">
        <v>0.93203883495145601</v>
      </c>
      <c r="J54" s="6">
        <v>0</v>
      </c>
      <c r="K54" s="6">
        <v>1.2135922330097099E-3</v>
      </c>
      <c r="L54" s="6">
        <v>8.4951456310679609E-3</v>
      </c>
      <c r="M54" s="6">
        <v>1.57766990291262E-2</v>
      </c>
      <c r="N54" s="6">
        <v>4.2475728155339801E-2</v>
      </c>
      <c r="O54" s="6">
        <v>0.60901699926090203</v>
      </c>
    </row>
    <row r="55" spans="1:15" x14ac:dyDescent="0.4">
      <c r="A55" s="3" t="s">
        <v>90</v>
      </c>
      <c r="B55" s="6">
        <v>0.93255789136698297</v>
      </c>
      <c r="C55" s="6">
        <v>2.8812293245117902E-3</v>
      </c>
      <c r="D55" s="6">
        <v>4.26848788816562E-4</v>
      </c>
      <c r="E55" s="6">
        <v>7.1141464802760302E-5</v>
      </c>
      <c r="F55" s="6">
        <v>2.6037776117810298E-2</v>
      </c>
      <c r="G55" s="6">
        <v>3.8025112937075403E-2</v>
      </c>
      <c r="H55" s="6">
        <v>0.80137396311393605</v>
      </c>
      <c r="I55" s="6">
        <v>0.919191919191919</v>
      </c>
      <c r="J55" s="6">
        <v>0</v>
      </c>
      <c r="K55" s="6">
        <v>0</v>
      </c>
      <c r="L55" s="6">
        <v>0</v>
      </c>
      <c r="M55" s="6">
        <v>5.5555555555555601E-2</v>
      </c>
      <c r="N55" s="6">
        <v>2.5252525252525301E-2</v>
      </c>
      <c r="O55" s="6">
        <v>0.860869565217391</v>
      </c>
    </row>
    <row r="60" spans="1:15" x14ac:dyDescent="0.4">
      <c r="A60" s="6"/>
      <c r="B60" s="12" t="s">
        <v>134</v>
      </c>
      <c r="C60" s="12"/>
      <c r="D60" s="12"/>
      <c r="E60" s="12"/>
      <c r="F60" s="12"/>
      <c r="G60" s="12"/>
      <c r="H60" s="12"/>
      <c r="I60" s="12" t="s">
        <v>132</v>
      </c>
      <c r="J60" s="12"/>
      <c r="K60" s="12"/>
      <c r="L60" s="12"/>
      <c r="M60" s="12"/>
      <c r="N60" s="12"/>
      <c r="O60" s="12"/>
    </row>
    <row r="61" spans="1:15" x14ac:dyDescent="0.4">
      <c r="A61" s="6" t="s">
        <v>136</v>
      </c>
      <c r="B61" s="6" t="s">
        <v>118</v>
      </c>
      <c r="C61" s="6" t="s">
        <v>119</v>
      </c>
      <c r="D61" s="6" t="s">
        <v>120</v>
      </c>
      <c r="E61" s="6" t="s">
        <v>121</v>
      </c>
      <c r="F61" s="6" t="s">
        <v>122</v>
      </c>
      <c r="G61" s="6" t="s">
        <v>123</v>
      </c>
      <c r="H61" s="6" t="s">
        <v>129</v>
      </c>
      <c r="I61" s="6" t="s">
        <v>118</v>
      </c>
      <c r="J61" s="6" t="s">
        <v>119</v>
      </c>
      <c r="K61" s="6" t="s">
        <v>120</v>
      </c>
      <c r="L61" s="6" t="s">
        <v>121</v>
      </c>
      <c r="M61" s="6" t="s">
        <v>122</v>
      </c>
      <c r="N61" s="6" t="s">
        <v>123</v>
      </c>
      <c r="O61" s="6" t="s">
        <v>129</v>
      </c>
    </row>
    <row r="62" spans="1:15" x14ac:dyDescent="0.4">
      <c r="A62" s="6" t="s">
        <v>14</v>
      </c>
      <c r="B62" s="6">
        <v>0.89240932061608502</v>
      </c>
      <c r="C62" s="6">
        <v>3.05282947274013E-3</v>
      </c>
      <c r="D62" s="6">
        <v>1.3798099311819801E-4</v>
      </c>
      <c r="E62" s="6">
        <v>1.0486555476983E-2</v>
      </c>
      <c r="F62" s="6">
        <v>1.6488728677624701E-2</v>
      </c>
      <c r="G62" s="6">
        <v>7.7424584763448795E-2</v>
      </c>
      <c r="H62" s="6">
        <v>0.66949573330561996</v>
      </c>
      <c r="I62" s="6">
        <v>0.888446215139442</v>
      </c>
      <c r="J62" s="6">
        <v>0</v>
      </c>
      <c r="K62" s="6">
        <v>0</v>
      </c>
      <c r="L62" s="6">
        <v>1.5936254980079698E-2</v>
      </c>
      <c r="M62" s="6">
        <v>2.3904382470119501E-2</v>
      </c>
      <c r="N62" s="6">
        <v>7.1713147410358599E-2</v>
      </c>
      <c r="O62" s="6">
        <v>0.65535248041775496</v>
      </c>
    </row>
    <row r="63" spans="1:15" x14ac:dyDescent="0.4">
      <c r="A63" s="6" t="s">
        <v>13</v>
      </c>
      <c r="B63" s="6">
        <v>0.91495453860451104</v>
      </c>
      <c r="C63" s="6">
        <v>8.4392424775204707E-3</v>
      </c>
      <c r="D63" s="6">
        <v>5.0233586175717101E-5</v>
      </c>
      <c r="E63" s="6">
        <v>4.7721906866931198E-3</v>
      </c>
      <c r="F63" s="6">
        <v>2.2504646606721301E-2</v>
      </c>
      <c r="G63" s="6">
        <v>4.9279148038378497E-2</v>
      </c>
      <c r="H63" s="6">
        <v>0.60993320669158602</v>
      </c>
      <c r="I63" s="6">
        <v>0.91428571428571404</v>
      </c>
      <c r="J63" s="6">
        <v>0</v>
      </c>
      <c r="K63" s="6">
        <v>0</v>
      </c>
      <c r="L63" s="6">
        <v>0</v>
      </c>
      <c r="M63" s="6">
        <v>5.7142857142857099E-2</v>
      </c>
      <c r="N63" s="6">
        <v>2.8571428571428598E-2</v>
      </c>
      <c r="O63" s="6">
        <v>0.59659090909090895</v>
      </c>
    </row>
    <row r="64" spans="1:15" x14ac:dyDescent="0.4">
      <c r="A64" s="6" t="s">
        <v>11</v>
      </c>
      <c r="B64" s="6">
        <v>0.92535019800224605</v>
      </c>
      <c r="C64" s="6">
        <v>7.5654589514746696E-3</v>
      </c>
      <c r="D64" s="6">
        <v>3.5463088835037502E-4</v>
      </c>
      <c r="E64" s="6">
        <v>7.44724865535788E-3</v>
      </c>
      <c r="F64" s="6">
        <v>2.0273065784029799E-2</v>
      </c>
      <c r="G64" s="6">
        <v>3.9009397718541297E-2</v>
      </c>
      <c r="H64" s="6">
        <v>0.61721144024514796</v>
      </c>
      <c r="I64" s="6">
        <v>0.92500000000000004</v>
      </c>
      <c r="J64" s="6">
        <v>0</v>
      </c>
      <c r="K64" s="6">
        <v>0</v>
      </c>
      <c r="L64" s="6">
        <v>1.2500000000000001E-2</v>
      </c>
      <c r="M64" s="6">
        <v>0.05</v>
      </c>
      <c r="N64" s="6">
        <v>1.2500000000000001E-2</v>
      </c>
      <c r="O64" s="6">
        <v>0.52980132450331097</v>
      </c>
    </row>
    <row r="65" spans="1:15" x14ac:dyDescent="0.4">
      <c r="A65" s="6" t="s">
        <v>17</v>
      </c>
      <c r="B65" s="6">
        <v>0.90055075729127598</v>
      </c>
      <c r="C65" s="6">
        <v>2.2530980097634199E-3</v>
      </c>
      <c r="D65" s="6">
        <v>1.8775816748028501E-4</v>
      </c>
      <c r="E65" s="6">
        <v>1.1077731881336801E-2</v>
      </c>
      <c r="F65" s="6">
        <v>1.4770309175115799E-2</v>
      </c>
      <c r="G65" s="6">
        <v>7.1160345475028197E-2</v>
      </c>
      <c r="H65" s="6">
        <v>0.65636938750359397</v>
      </c>
      <c r="I65" s="6">
        <v>0.90625</v>
      </c>
      <c r="J65" s="6">
        <v>0</v>
      </c>
      <c r="K65" s="6">
        <v>0</v>
      </c>
      <c r="L65" s="6">
        <v>1.5625E-2</v>
      </c>
      <c r="M65" s="6">
        <v>1.5625E-2</v>
      </c>
      <c r="N65" s="6">
        <v>6.25E-2</v>
      </c>
      <c r="O65" s="6">
        <v>0.66666666666666696</v>
      </c>
    </row>
    <row r="66" spans="1:15" x14ac:dyDescent="0.4">
      <c r="A66" s="6" t="s">
        <v>10</v>
      </c>
      <c r="B66" s="6">
        <v>0.91399141630901304</v>
      </c>
      <c r="C66" s="6">
        <v>2.4892703862660899E-3</v>
      </c>
      <c r="D66" s="6">
        <v>1.6309012875536501E-3</v>
      </c>
      <c r="E66" s="6">
        <v>1.11587982832618E-2</v>
      </c>
      <c r="F66" s="6">
        <v>2.12875536480687E-2</v>
      </c>
      <c r="G66" s="6">
        <v>4.9442060085836903E-2</v>
      </c>
      <c r="H66" s="6">
        <v>0.64208553791887102</v>
      </c>
      <c r="I66" s="6">
        <v>0.95588235294117696</v>
      </c>
      <c r="J66" s="6">
        <v>0</v>
      </c>
      <c r="K66" s="6">
        <v>0</v>
      </c>
      <c r="L66" s="6">
        <v>0</v>
      </c>
      <c r="M66" s="6">
        <v>1.4705882352941201E-2</v>
      </c>
      <c r="N66" s="6">
        <v>2.9411764705882401E-2</v>
      </c>
      <c r="O66" s="6">
        <v>0.56666666666666698</v>
      </c>
    </row>
    <row r="67" spans="1:15" x14ac:dyDescent="0.4">
      <c r="A67" s="6" t="s">
        <v>12</v>
      </c>
      <c r="B67" s="6">
        <v>0.92572307100989704</v>
      </c>
      <c r="C67" s="6">
        <v>2.8826751225136901E-3</v>
      </c>
      <c r="D67" s="6">
        <v>3.8435668300182603E-4</v>
      </c>
      <c r="E67" s="6">
        <v>8.1675795137887992E-3</v>
      </c>
      <c r="F67" s="6">
        <v>1.49899106370712E-2</v>
      </c>
      <c r="G67" s="6">
        <v>4.7852407033727298E-2</v>
      </c>
      <c r="H67" s="6">
        <v>0.661896584621255</v>
      </c>
      <c r="I67" s="6">
        <v>0.98360655737704905</v>
      </c>
      <c r="J67" s="6">
        <v>0</v>
      </c>
      <c r="K67" s="6">
        <v>0</v>
      </c>
      <c r="L67" s="6">
        <v>1.63934426229508E-2</v>
      </c>
      <c r="M67" s="6">
        <v>0</v>
      </c>
      <c r="N67" s="6">
        <v>0</v>
      </c>
      <c r="O67" s="6">
        <v>0.62244897959183698</v>
      </c>
    </row>
    <row r="68" spans="1:15" x14ac:dyDescent="0.4">
      <c r="A68" s="6" t="s">
        <v>16</v>
      </c>
      <c r="B68" s="6">
        <v>0.93513218860725</v>
      </c>
      <c r="C68" s="6">
        <v>4.0883074407195401E-3</v>
      </c>
      <c r="D68" s="6">
        <v>9.5393840283455997E-4</v>
      </c>
      <c r="E68" s="6">
        <v>8.5854456255110394E-3</v>
      </c>
      <c r="F68" s="6">
        <v>1.36276914690651E-2</v>
      </c>
      <c r="G68" s="6">
        <v>3.7612428454619803E-2</v>
      </c>
      <c r="H68" s="6">
        <v>0.615139575823623</v>
      </c>
      <c r="I68" s="6">
        <v>0.90243902439024404</v>
      </c>
      <c r="J68" s="6">
        <v>0</v>
      </c>
      <c r="K68" s="6">
        <v>2.4390243902439001E-2</v>
      </c>
      <c r="L68" s="6">
        <v>2.4390243902439001E-2</v>
      </c>
      <c r="M68" s="6">
        <v>4.8780487804878099E-2</v>
      </c>
      <c r="N68" s="6">
        <v>0</v>
      </c>
      <c r="O68" s="6">
        <v>0.66129032258064502</v>
      </c>
    </row>
    <row r="69" spans="1:15" x14ac:dyDescent="0.4">
      <c r="A69" s="6" t="s">
        <v>15</v>
      </c>
      <c r="B69" s="6">
        <v>0.91836734693877597</v>
      </c>
      <c r="C69" s="6">
        <v>2.1865889212828002E-3</v>
      </c>
      <c r="D69" s="6">
        <v>1.45772594752187E-3</v>
      </c>
      <c r="E69" s="6">
        <v>6.5597667638484002E-3</v>
      </c>
      <c r="F69" s="6">
        <v>1.82215743440233E-2</v>
      </c>
      <c r="G69" s="6">
        <v>5.3206997084548097E-2</v>
      </c>
      <c r="H69" s="6">
        <v>0.65364459266317299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0.63636363636363602</v>
      </c>
    </row>
    <row r="70" spans="1:15" x14ac:dyDescent="0.4">
      <c r="A70" s="6" t="s">
        <v>7</v>
      </c>
      <c r="B70" s="6">
        <v>0.89706668091472497</v>
      </c>
      <c r="C70" s="6">
        <v>2.5245779012609501E-3</v>
      </c>
      <c r="D70" s="6">
        <v>7.8809574695447705E-4</v>
      </c>
      <c r="E70" s="6">
        <v>1.20351570848472E-2</v>
      </c>
      <c r="F70" s="6">
        <v>1.41857234451806E-2</v>
      </c>
      <c r="G70" s="6">
        <v>7.3399764907031401E-2</v>
      </c>
      <c r="H70" s="6">
        <v>0.66785016548168097</v>
      </c>
      <c r="I70" s="6">
        <v>0.917888563049853</v>
      </c>
      <c r="J70" s="6">
        <v>0</v>
      </c>
      <c r="K70" s="6">
        <v>5.8651026392961903E-3</v>
      </c>
      <c r="L70" s="6">
        <v>1.7595307917888599E-2</v>
      </c>
      <c r="M70" s="6">
        <v>2.0527859237536701E-2</v>
      </c>
      <c r="N70" s="6">
        <v>3.81231671554252E-2</v>
      </c>
      <c r="O70" s="6">
        <v>0.63148148148148198</v>
      </c>
    </row>
    <row r="71" spans="1:15" x14ac:dyDescent="0.4">
      <c r="A71" s="6" t="s">
        <v>6</v>
      </c>
      <c r="B71" s="6">
        <v>0.93174380551659697</v>
      </c>
      <c r="C71" s="6">
        <v>2.57129499766246E-3</v>
      </c>
      <c r="D71" s="6">
        <v>2.2206638616175801E-3</v>
      </c>
      <c r="E71" s="6">
        <v>4.32445067788686E-3</v>
      </c>
      <c r="F71" s="6">
        <v>1.8115942028985501E-2</v>
      </c>
      <c r="G71" s="6">
        <v>4.1023842917251099E-2</v>
      </c>
      <c r="H71" s="6">
        <v>0.64916540212443097</v>
      </c>
      <c r="I71" s="6">
        <v>0.79032258064516103</v>
      </c>
      <c r="J71" s="6">
        <v>0</v>
      </c>
      <c r="K71" s="6">
        <v>1.6129032258064498E-2</v>
      </c>
      <c r="L71" s="6">
        <v>1.6129032258064498E-2</v>
      </c>
      <c r="M71" s="6">
        <v>8.0645161290322606E-2</v>
      </c>
      <c r="N71" s="6">
        <v>9.6774193548387094E-2</v>
      </c>
      <c r="O71" s="6">
        <v>0.659574468085106</v>
      </c>
    </row>
    <row r="72" spans="1:15" x14ac:dyDescent="0.4">
      <c r="A72" s="6" t="s">
        <v>22</v>
      </c>
      <c r="B72" s="6">
        <v>0.92654829845698605</v>
      </c>
      <c r="C72" s="6">
        <v>2.4307757345170202E-3</v>
      </c>
      <c r="D72" s="6">
        <v>1.9023462270133201E-3</v>
      </c>
      <c r="E72" s="6">
        <v>5.7070386810399503E-3</v>
      </c>
      <c r="F72" s="6">
        <v>1.8495032762629499E-2</v>
      </c>
      <c r="G72" s="6">
        <v>4.49165081378144E-2</v>
      </c>
      <c r="H72" s="6">
        <v>0.65313729550631605</v>
      </c>
      <c r="I72" s="6">
        <v>0.90384615384615397</v>
      </c>
      <c r="J72" s="6">
        <v>0</v>
      </c>
      <c r="K72" s="6">
        <v>1.9230769230769201E-2</v>
      </c>
      <c r="L72" s="6">
        <v>0</v>
      </c>
      <c r="M72" s="6">
        <v>5.7692307692307702E-2</v>
      </c>
      <c r="N72" s="6">
        <v>1.9230769230769201E-2</v>
      </c>
      <c r="O72" s="6">
        <v>0.565217391304348</v>
      </c>
    </row>
    <row r="73" spans="1:15" x14ac:dyDescent="0.4">
      <c r="A73" s="6" t="s">
        <v>21</v>
      </c>
      <c r="B73" s="6">
        <v>0.92115177610333698</v>
      </c>
      <c r="C73" s="6">
        <v>2.3322569070685301E-3</v>
      </c>
      <c r="D73" s="6">
        <v>5.1130247578040902E-3</v>
      </c>
      <c r="E73" s="6">
        <v>7.7143882310728397E-3</v>
      </c>
      <c r="F73" s="6">
        <v>1.5518478650879099E-2</v>
      </c>
      <c r="G73" s="6">
        <v>4.8170075349838498E-2</v>
      </c>
      <c r="H73" s="6">
        <v>0.67253861003861004</v>
      </c>
      <c r="I73" s="6">
        <v>0.97916666666666696</v>
      </c>
      <c r="J73" s="6">
        <v>0</v>
      </c>
      <c r="K73" s="6">
        <v>0</v>
      </c>
      <c r="L73" s="6">
        <v>0</v>
      </c>
      <c r="M73" s="6">
        <v>2.0833333333333301E-2</v>
      </c>
      <c r="N73" s="6">
        <v>0</v>
      </c>
      <c r="O73" s="6">
        <v>0.64</v>
      </c>
    </row>
    <row r="74" spans="1:15" x14ac:dyDescent="0.4">
      <c r="A74" s="6" t="s">
        <v>19</v>
      </c>
      <c r="B74" s="6">
        <v>0.91800325928467297</v>
      </c>
      <c r="C74" s="6">
        <v>3.0019727249335302E-3</v>
      </c>
      <c r="D74" s="6">
        <v>1.00351659662064E-2</v>
      </c>
      <c r="E74" s="6">
        <v>7.0331932412728403E-3</v>
      </c>
      <c r="F74" s="6">
        <v>2.1185350373102301E-2</v>
      </c>
      <c r="G74" s="6">
        <v>4.0741058409812202E-2</v>
      </c>
      <c r="H74" s="6">
        <v>0.65247075941574795</v>
      </c>
      <c r="I74" s="6">
        <v>0.85858585858585901</v>
      </c>
      <c r="J74" s="6">
        <v>1.01010101010101E-2</v>
      </c>
      <c r="K74" s="6">
        <v>8.0808080808080801E-2</v>
      </c>
      <c r="L74" s="6">
        <v>2.02020202020202E-2</v>
      </c>
      <c r="M74" s="6">
        <v>2.02020202020202E-2</v>
      </c>
      <c r="N74" s="6">
        <v>1.01010101010101E-2</v>
      </c>
      <c r="O74" s="6">
        <v>0.65131578947368396</v>
      </c>
    </row>
    <row r="75" spans="1:15" x14ac:dyDescent="0.4">
      <c r="A75" s="6" t="s">
        <v>18</v>
      </c>
      <c r="B75" s="6">
        <v>0.92674239507123601</v>
      </c>
      <c r="C75" s="6">
        <v>2.59915286869465E-3</v>
      </c>
      <c r="D75" s="6">
        <v>1.04928763958414E-2</v>
      </c>
      <c r="E75" s="6">
        <v>6.7385444743935296E-3</v>
      </c>
      <c r="F75" s="6">
        <v>1.8771659607239099E-2</v>
      </c>
      <c r="G75" s="6">
        <v>3.4655371582595303E-2</v>
      </c>
      <c r="H75" s="6">
        <v>0.63993100474342401</v>
      </c>
      <c r="I75" s="6">
        <v>0.89772727272727304</v>
      </c>
      <c r="J75" s="6">
        <v>0</v>
      </c>
      <c r="K75" s="6">
        <v>4.5454545454545497E-2</v>
      </c>
      <c r="L75" s="6">
        <v>1.13636363636364E-2</v>
      </c>
      <c r="M75" s="6">
        <v>2.27272727272727E-2</v>
      </c>
      <c r="N75" s="6">
        <v>2.27272727272727E-2</v>
      </c>
      <c r="O75" s="6">
        <v>0.68217054263565902</v>
      </c>
    </row>
    <row r="76" spans="1:15" x14ac:dyDescent="0.4">
      <c r="A76" s="6" t="s">
        <v>9</v>
      </c>
      <c r="B76" s="6">
        <v>0.92760305553643896</v>
      </c>
      <c r="C76" s="6">
        <v>5.2301975087743402E-3</v>
      </c>
      <c r="D76" s="6">
        <v>7.2947491569747402E-3</v>
      </c>
      <c r="E76" s="6">
        <v>6.2624733328745397E-3</v>
      </c>
      <c r="F76" s="6">
        <v>2.0714334870277299E-2</v>
      </c>
      <c r="G76" s="6">
        <v>3.2895189594659702E-2</v>
      </c>
      <c r="H76" s="6">
        <v>0.63396012390384404</v>
      </c>
      <c r="I76" s="6">
        <v>0.85148514851485102</v>
      </c>
      <c r="J76" s="6">
        <v>0</v>
      </c>
      <c r="K76" s="6">
        <v>3.9603960396039598E-2</v>
      </c>
      <c r="L76" s="6">
        <v>9.9009900990098994E-3</v>
      </c>
      <c r="M76" s="6">
        <v>6.9306930693069299E-2</v>
      </c>
      <c r="N76" s="6">
        <v>2.9702970297029702E-2</v>
      </c>
      <c r="O76" s="6">
        <v>0.59411764705882397</v>
      </c>
    </row>
    <row r="77" spans="1:15" x14ac:dyDescent="0.4">
      <c r="A77" s="6" t="s">
        <v>8</v>
      </c>
      <c r="B77" s="6">
        <v>0.93309269721699095</v>
      </c>
      <c r="C77" s="6">
        <v>4.9696589244611804E-3</v>
      </c>
      <c r="D77" s="6">
        <v>2.4586733626281699E-3</v>
      </c>
      <c r="E77" s="6">
        <v>6.0682151077631301E-3</v>
      </c>
      <c r="F77" s="6">
        <v>1.6792215944758299E-2</v>
      </c>
      <c r="G77" s="6">
        <v>3.6618539443398199E-2</v>
      </c>
      <c r="H77" s="6">
        <v>0.62135543637250101</v>
      </c>
      <c r="I77" s="6">
        <v>0.93577981651376196</v>
      </c>
      <c r="J77" s="6">
        <v>0</v>
      </c>
      <c r="K77" s="6">
        <v>9.1743119266055103E-3</v>
      </c>
      <c r="L77" s="6">
        <v>0</v>
      </c>
      <c r="M77" s="6">
        <v>4.5871559633027498E-2</v>
      </c>
      <c r="N77" s="6">
        <v>9.1743119266055103E-3</v>
      </c>
      <c r="O77" s="6">
        <v>0.55612244897959195</v>
      </c>
    </row>
    <row r="78" spans="1:15" x14ac:dyDescent="0.4">
      <c r="A78" s="6" t="s">
        <v>20</v>
      </c>
      <c r="B78" s="6">
        <v>0.92068859514294499</v>
      </c>
      <c r="C78" s="6">
        <v>3.6889025514909302E-3</v>
      </c>
      <c r="D78" s="6">
        <v>9.2222563787273306E-3</v>
      </c>
      <c r="E78" s="6">
        <v>2.45926836766062E-3</v>
      </c>
      <c r="F78" s="6">
        <v>1.5370427297878899E-2</v>
      </c>
      <c r="G78" s="6">
        <v>4.85705502612973E-2</v>
      </c>
      <c r="H78" s="6">
        <v>0.64022830151544996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0.60465116279069797</v>
      </c>
    </row>
    <row r="79" spans="1:15" x14ac:dyDescent="0.4">
      <c r="A79" s="6" t="s">
        <v>93</v>
      </c>
      <c r="B79" s="6">
        <v>0.90363172985027096</v>
      </c>
      <c r="C79" s="6">
        <v>3.8228735266008299E-3</v>
      </c>
      <c r="D79" s="6">
        <v>1.1150047785919101E-3</v>
      </c>
      <c r="E79" s="6">
        <v>1.3698630136986301E-2</v>
      </c>
      <c r="F79" s="6">
        <v>1.17871933736859E-2</v>
      </c>
      <c r="G79" s="6">
        <v>6.5944568333864306E-2</v>
      </c>
      <c r="H79" s="6">
        <v>0.66617147707979596</v>
      </c>
      <c r="I79" s="6">
        <v>0.95454545454545503</v>
      </c>
      <c r="J79" s="6">
        <v>0</v>
      </c>
      <c r="K79" s="6">
        <v>0</v>
      </c>
      <c r="L79" s="6">
        <v>0</v>
      </c>
      <c r="M79" s="6">
        <v>0</v>
      </c>
      <c r="N79" s="6">
        <v>4.5454545454545497E-2</v>
      </c>
      <c r="O79" s="6">
        <v>0.56410256410256399</v>
      </c>
    </row>
    <row r="84" spans="1:15" x14ac:dyDescent="0.4">
      <c r="A84" s="6"/>
      <c r="B84" s="12" t="s">
        <v>134</v>
      </c>
      <c r="C84" s="12"/>
      <c r="D84" s="12"/>
      <c r="E84" s="12"/>
      <c r="F84" s="12"/>
      <c r="G84" s="12"/>
      <c r="H84" s="12"/>
      <c r="I84" s="12" t="s">
        <v>132</v>
      </c>
      <c r="J84" s="12"/>
      <c r="K84" s="12"/>
      <c r="L84" s="12"/>
      <c r="M84" s="12"/>
      <c r="N84" s="12"/>
      <c r="O84" s="12"/>
    </row>
    <row r="85" spans="1:15" x14ac:dyDescent="0.4">
      <c r="A85" s="3" t="s">
        <v>139</v>
      </c>
      <c r="B85" s="3" t="s">
        <v>118</v>
      </c>
      <c r="C85" s="3" t="s">
        <v>119</v>
      </c>
      <c r="D85" s="3" t="s">
        <v>120</v>
      </c>
      <c r="E85" s="3" t="s">
        <v>121</v>
      </c>
      <c r="F85" s="3" t="s">
        <v>122</v>
      </c>
      <c r="G85" s="3" t="s">
        <v>123</v>
      </c>
      <c r="H85" s="3" t="s">
        <v>129</v>
      </c>
      <c r="I85" s="3" t="s">
        <v>118</v>
      </c>
      <c r="J85" s="3" t="s">
        <v>119</v>
      </c>
      <c r="K85" s="3" t="s">
        <v>120</v>
      </c>
      <c r="L85" s="3" t="s">
        <v>121</v>
      </c>
      <c r="M85" s="3" t="s">
        <v>122</v>
      </c>
      <c r="N85" s="3" t="s">
        <v>123</v>
      </c>
      <c r="O85" s="3" t="s">
        <v>129</v>
      </c>
    </row>
    <row r="86" spans="1:15" x14ac:dyDescent="0.4">
      <c r="A86" s="3" t="s">
        <v>138</v>
      </c>
      <c r="B86" s="6">
        <v>0.90654570032234605</v>
      </c>
      <c r="C86" s="6">
        <v>3.7758656545700299E-3</v>
      </c>
      <c r="D86" s="6">
        <v>1.60523032130602E-3</v>
      </c>
      <c r="E86" s="6">
        <v>9.5144015805344699E-3</v>
      </c>
      <c r="F86" s="6">
        <v>1.52529375064989E-2</v>
      </c>
      <c r="G86" s="6">
        <v>6.3305864614744703E-2</v>
      </c>
      <c r="H86" s="6">
        <v>0.64914760142931305</v>
      </c>
      <c r="I86" s="6">
        <v>0.92572214580467704</v>
      </c>
      <c r="J86" s="6">
        <v>0</v>
      </c>
      <c r="K86" s="6">
        <v>5.5020632737276497E-3</v>
      </c>
      <c r="L86" s="6">
        <v>1.23796423658872E-2</v>
      </c>
      <c r="M86" s="6">
        <v>2.3383768913342502E-2</v>
      </c>
      <c r="N86" s="6">
        <v>3.3012379642365898E-2</v>
      </c>
      <c r="O86" s="6">
        <v>0.62943722943722902</v>
      </c>
    </row>
    <row r="87" spans="1:15" ht="16.8" customHeight="1" x14ac:dyDescent="0.4">
      <c r="A87" s="3" t="s">
        <v>137</v>
      </c>
      <c r="B87" s="6">
        <v>0.91371476999738699</v>
      </c>
      <c r="C87" s="6">
        <v>3.4983081952170698E-3</v>
      </c>
      <c r="D87" s="6">
        <v>2.3704383399285002E-3</v>
      </c>
      <c r="E87" s="6">
        <v>8.6661186621042104E-3</v>
      </c>
      <c r="F87" s="6">
        <v>1.85939222470736E-2</v>
      </c>
      <c r="G87" s="6">
        <v>5.3156442558289198E-2</v>
      </c>
      <c r="H87" s="6">
        <v>0.65256876728278301</v>
      </c>
      <c r="I87" s="6">
        <v>0.89309576837416504</v>
      </c>
      <c r="J87" s="6">
        <v>1.1135857461024501E-3</v>
      </c>
      <c r="K87" s="6">
        <v>2.0044543429844099E-2</v>
      </c>
      <c r="L87" s="6">
        <v>1.1135857461024501E-2</v>
      </c>
      <c r="M87" s="6">
        <v>3.8975501113585699E-2</v>
      </c>
      <c r="N87" s="6">
        <v>3.5634743875278402E-2</v>
      </c>
      <c r="O87" s="6">
        <v>0.61005434782608703</v>
      </c>
    </row>
    <row r="92" spans="1:15" x14ac:dyDescent="0.4">
      <c r="A92" s="6"/>
      <c r="B92" s="12" t="s">
        <v>134</v>
      </c>
      <c r="C92" s="12"/>
      <c r="D92" s="12"/>
      <c r="E92" s="12"/>
      <c r="F92" s="12"/>
      <c r="G92" s="12"/>
      <c r="H92" s="12"/>
      <c r="I92" s="12" t="s">
        <v>132</v>
      </c>
      <c r="J92" s="12"/>
      <c r="K92" s="12"/>
      <c r="L92" s="12"/>
      <c r="M92" s="12"/>
      <c r="N92" s="12"/>
      <c r="O92" s="12"/>
    </row>
    <row r="93" spans="1:15" x14ac:dyDescent="0.4">
      <c r="A93" s="3" t="s">
        <v>108</v>
      </c>
      <c r="B93" s="3" t="s">
        <v>118</v>
      </c>
      <c r="C93" s="3" t="s">
        <v>119</v>
      </c>
      <c r="D93" s="3" t="s">
        <v>120</v>
      </c>
      <c r="E93" s="3" t="s">
        <v>121</v>
      </c>
      <c r="F93" s="3" t="s">
        <v>122</v>
      </c>
      <c r="G93" s="3" t="s">
        <v>123</v>
      </c>
      <c r="H93" s="3" t="s">
        <v>129</v>
      </c>
      <c r="I93" s="3" t="s">
        <v>118</v>
      </c>
      <c r="J93" s="3" t="s">
        <v>119</v>
      </c>
      <c r="K93" s="3" t="s">
        <v>120</v>
      </c>
      <c r="L93" s="3" t="s">
        <v>121</v>
      </c>
      <c r="M93" s="3" t="s">
        <v>122</v>
      </c>
      <c r="N93" s="3" t="s">
        <v>123</v>
      </c>
      <c r="O93" s="3" t="s">
        <v>129</v>
      </c>
    </row>
    <row r="94" spans="1:15" x14ac:dyDescent="0.4">
      <c r="A94" s="3" t="s">
        <v>109</v>
      </c>
      <c r="B94" s="6">
        <v>0.83948421520675898</v>
      </c>
      <c r="C94" s="6">
        <v>2.6678523788350398E-3</v>
      </c>
      <c r="D94" s="6">
        <v>2.6678523788350398E-3</v>
      </c>
      <c r="E94" s="6">
        <v>1.15606936416185E-2</v>
      </c>
      <c r="F94" s="6">
        <v>3.5126722987994699E-2</v>
      </c>
      <c r="G94" s="6">
        <v>0.10849266340595801</v>
      </c>
      <c r="H94" s="6">
        <v>0.59655172413793101</v>
      </c>
      <c r="I94" s="6">
        <v>0.95</v>
      </c>
      <c r="J94" s="6">
        <v>0</v>
      </c>
      <c r="K94" s="6">
        <v>0</v>
      </c>
      <c r="L94" s="6">
        <v>0</v>
      </c>
      <c r="M94" s="6">
        <v>0.05</v>
      </c>
      <c r="N94" s="6">
        <v>0</v>
      </c>
      <c r="O94" s="6">
        <v>0.54054054054054101</v>
      </c>
    </row>
    <row r="95" spans="1:15" x14ac:dyDescent="0.4">
      <c r="A95" s="3" t="s">
        <v>110</v>
      </c>
      <c r="B95" s="6">
        <v>0.85494618144541301</v>
      </c>
      <c r="C95" s="6">
        <v>5.1255766273705801E-4</v>
      </c>
      <c r="D95" s="6">
        <v>1.0251153254741199E-3</v>
      </c>
      <c r="E95" s="6">
        <v>1.7939518195797002E-2</v>
      </c>
      <c r="F95" s="6">
        <v>2.3065094823167601E-2</v>
      </c>
      <c r="G95" s="6">
        <v>0.10251153254741199</v>
      </c>
      <c r="H95" s="6">
        <v>0.58978234582829503</v>
      </c>
      <c r="I95" s="6">
        <v>0.875</v>
      </c>
      <c r="J95" s="6">
        <v>0</v>
      </c>
      <c r="K95" s="6">
        <v>0</v>
      </c>
      <c r="L95" s="6">
        <v>0</v>
      </c>
      <c r="M95" s="6">
        <v>6.25E-2</v>
      </c>
      <c r="N95" s="6">
        <v>6.25E-2</v>
      </c>
      <c r="O95" s="6">
        <v>0.51612903225806495</v>
      </c>
    </row>
    <row r="96" spans="1:15" x14ac:dyDescent="0.4">
      <c r="A96" s="3" t="s">
        <v>111</v>
      </c>
      <c r="B96" s="6">
        <v>0.85752472600908802</v>
      </c>
      <c r="C96" s="6">
        <v>1.87115744453355E-3</v>
      </c>
      <c r="D96" s="6">
        <v>1.0692328254477399E-3</v>
      </c>
      <c r="E96" s="6">
        <v>1.3632718524458701E-2</v>
      </c>
      <c r="F96" s="6">
        <v>2.99385191125368E-2</v>
      </c>
      <c r="G96" s="6">
        <v>9.5963646083934803E-2</v>
      </c>
      <c r="H96" s="6">
        <v>0.57633646587582799</v>
      </c>
      <c r="I96" s="6">
        <v>0.90322580645161299</v>
      </c>
      <c r="J96" s="6">
        <v>0</v>
      </c>
      <c r="K96" s="6">
        <v>0</v>
      </c>
      <c r="L96" s="6">
        <v>0</v>
      </c>
      <c r="M96" s="6">
        <v>3.2258064516128997E-2</v>
      </c>
      <c r="N96" s="6">
        <v>6.4516129032258104E-2</v>
      </c>
      <c r="O96" s="6">
        <v>0.52542372881355903</v>
      </c>
    </row>
    <row r="97" spans="1:15" x14ac:dyDescent="0.4">
      <c r="A97" s="3" t="s">
        <v>112</v>
      </c>
      <c r="B97" s="6">
        <v>0.870651388458759</v>
      </c>
      <c r="C97" s="6">
        <v>2.1678538247135301E-3</v>
      </c>
      <c r="D97" s="6">
        <v>1.6516981521626901E-3</v>
      </c>
      <c r="E97" s="6">
        <v>1.25941984102405E-2</v>
      </c>
      <c r="F97" s="6">
        <v>2.3743160937338699E-2</v>
      </c>
      <c r="G97" s="6">
        <v>8.9191700216785394E-2</v>
      </c>
      <c r="H97" s="6">
        <v>0.59106717920556495</v>
      </c>
      <c r="I97" s="6">
        <v>0.90217391304347805</v>
      </c>
      <c r="J97" s="6">
        <v>0</v>
      </c>
      <c r="K97" s="6">
        <v>1.0869565217391301E-2</v>
      </c>
      <c r="L97" s="6">
        <v>2.1739130434782601E-2</v>
      </c>
      <c r="M97" s="6">
        <v>2.1739130434782601E-2</v>
      </c>
      <c r="N97" s="6">
        <v>4.3478260869565202E-2</v>
      </c>
      <c r="O97" s="6">
        <v>0.53179190751445105</v>
      </c>
    </row>
    <row r="98" spans="1:15" x14ac:dyDescent="0.4">
      <c r="A98" s="3" t="s">
        <v>113</v>
      </c>
      <c r="B98" s="6">
        <v>0.88355151246209596</v>
      </c>
      <c r="C98" s="6">
        <v>2.9213815546187401E-3</v>
      </c>
      <c r="D98" s="6">
        <v>1.88595518082982E-3</v>
      </c>
      <c r="E98" s="6">
        <v>1.00214481177428E-2</v>
      </c>
      <c r="F98" s="6">
        <v>2.1152281635973699E-2</v>
      </c>
      <c r="G98" s="6">
        <v>8.0467421048738996E-2</v>
      </c>
      <c r="H98" s="6">
        <v>0.61600492038542998</v>
      </c>
      <c r="I98" s="6">
        <v>0.91517857142857095</v>
      </c>
      <c r="J98" s="6">
        <v>0</v>
      </c>
      <c r="K98" s="6">
        <v>1.7857142857142901E-2</v>
      </c>
      <c r="L98" s="6">
        <v>1.33928571428571E-2</v>
      </c>
      <c r="M98" s="6">
        <v>2.23214285714286E-2</v>
      </c>
      <c r="N98" s="6">
        <v>3.125E-2</v>
      </c>
      <c r="O98" s="6">
        <v>0.55308641975308603</v>
      </c>
    </row>
    <row r="99" spans="1:15" x14ac:dyDescent="0.4">
      <c r="A99" s="3" t="s">
        <v>114</v>
      </c>
      <c r="B99" s="6">
        <v>0.89937950424974999</v>
      </c>
      <c r="C99" s="6">
        <v>3.2317486992211502E-3</v>
      </c>
      <c r="D99" s="6">
        <v>1.8097792715638401E-3</v>
      </c>
      <c r="E99" s="6">
        <v>1.11980092428013E-2</v>
      </c>
      <c r="F99" s="6">
        <v>1.8727983711986598E-2</v>
      </c>
      <c r="G99" s="6">
        <v>6.5652974824677607E-2</v>
      </c>
      <c r="H99" s="6">
        <v>0.63185085354896697</v>
      </c>
      <c r="I99" s="6">
        <v>0.91280653950953705</v>
      </c>
      <c r="J99" s="6">
        <v>0</v>
      </c>
      <c r="K99" s="6">
        <v>8.1743869209809292E-3</v>
      </c>
      <c r="L99" s="6">
        <v>1.9073569482288801E-2</v>
      </c>
      <c r="M99" s="6">
        <v>2.4523160762942801E-2</v>
      </c>
      <c r="N99" s="6">
        <v>3.5422343324250698E-2</v>
      </c>
      <c r="O99" s="6">
        <v>0.56635802469135799</v>
      </c>
    </row>
    <row r="100" spans="1:15" x14ac:dyDescent="0.4">
      <c r="A100" s="3" t="s">
        <v>115</v>
      </c>
      <c r="B100" s="6">
        <v>0.91428017533845296</v>
      </c>
      <c r="C100" s="6">
        <v>3.88803325830111E-3</v>
      </c>
      <c r="D100" s="6">
        <v>2.0678736443041899E-3</v>
      </c>
      <c r="E100" s="6">
        <v>9.1223384204461005E-3</v>
      </c>
      <c r="F100" s="6">
        <v>1.4238171655052799E-2</v>
      </c>
      <c r="G100" s="6">
        <v>5.6403407683442999E-2</v>
      </c>
      <c r="H100" s="6">
        <v>0.64433726578764705</v>
      </c>
      <c r="I100" s="6">
        <v>0.89242053789731002</v>
      </c>
      <c r="J100" s="6">
        <v>2.4449877750611199E-3</v>
      </c>
      <c r="K100" s="6">
        <v>2.93398533007335E-2</v>
      </c>
      <c r="L100" s="6">
        <v>1.71149144254279E-2</v>
      </c>
      <c r="M100" s="6">
        <v>2.44498777506112E-2</v>
      </c>
      <c r="N100" s="6">
        <v>3.4229828850855702E-2</v>
      </c>
      <c r="O100" s="6">
        <v>0.63906249999999998</v>
      </c>
    </row>
    <row r="101" spans="1:15" x14ac:dyDescent="0.4">
      <c r="A101" s="3" t="s">
        <v>116</v>
      </c>
      <c r="B101" s="6">
        <v>0.92720296580509698</v>
      </c>
      <c r="C101" s="6">
        <v>4.3683405490887398E-3</v>
      </c>
      <c r="D101" s="6">
        <v>2.04806470847484E-3</v>
      </c>
      <c r="E101" s="6">
        <v>8.1533715293080709E-3</v>
      </c>
      <c r="F101" s="6">
        <v>1.36753687812719E-2</v>
      </c>
      <c r="G101" s="6">
        <v>4.45518886267596E-2</v>
      </c>
      <c r="H101" s="6">
        <v>0.67539812472094096</v>
      </c>
      <c r="I101" s="6">
        <v>0.92150170648464202</v>
      </c>
      <c r="J101" s="6">
        <v>0</v>
      </c>
      <c r="K101" s="6">
        <v>6.8259385665529002E-3</v>
      </c>
      <c r="L101" s="6">
        <v>0</v>
      </c>
      <c r="M101" s="6">
        <v>4.4368600682593899E-2</v>
      </c>
      <c r="N101" s="6">
        <v>2.7303754266211601E-2</v>
      </c>
      <c r="O101" s="6">
        <v>0.70602409638554198</v>
      </c>
    </row>
    <row r="102" spans="1:15" x14ac:dyDescent="0.4">
      <c r="A102" s="3" t="s">
        <v>117</v>
      </c>
      <c r="B102" s="6">
        <v>0.92584807613709397</v>
      </c>
      <c r="C102" s="6">
        <v>3.4448531558358099E-3</v>
      </c>
      <c r="D102" s="6">
        <v>2.2771063233491002E-3</v>
      </c>
      <c r="E102" s="6">
        <v>4.3790506218251901E-3</v>
      </c>
      <c r="F102" s="6">
        <v>2.0172826531207999E-2</v>
      </c>
      <c r="G102" s="6">
        <v>4.3878087230688402E-2</v>
      </c>
      <c r="H102" s="6">
        <v>0.72268872104308202</v>
      </c>
      <c r="I102" s="6">
        <v>0.90173410404624299</v>
      </c>
      <c r="J102" s="6">
        <v>0</v>
      </c>
      <c r="K102" s="6">
        <v>0</v>
      </c>
      <c r="L102" s="6">
        <v>0</v>
      </c>
      <c r="M102" s="6">
        <v>5.7803468208092498E-2</v>
      </c>
      <c r="N102" s="6">
        <v>4.0462427745664699E-2</v>
      </c>
      <c r="O102" s="6">
        <v>0.78995433789954295</v>
      </c>
    </row>
  </sheetData>
  <mergeCells count="14">
    <mergeCell ref="I11:O11"/>
    <mergeCell ref="B11:H11"/>
    <mergeCell ref="I32:O32"/>
    <mergeCell ref="B32:H32"/>
    <mergeCell ref="B84:H84"/>
    <mergeCell ref="I84:O84"/>
    <mergeCell ref="B92:H92"/>
    <mergeCell ref="I92:O92"/>
    <mergeCell ref="B40:H40"/>
    <mergeCell ref="I40:O40"/>
    <mergeCell ref="B51:H51"/>
    <mergeCell ref="I51:O51"/>
    <mergeCell ref="B60:H60"/>
    <mergeCell ref="I60:O6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workbookViewId="0">
      <selection activeCell="I8" sqref="I8"/>
    </sheetView>
  </sheetViews>
  <sheetFormatPr defaultRowHeight="17.399999999999999" x14ac:dyDescent="0.4"/>
  <cols>
    <col min="1" max="1" width="53.5" bestFit="1" customWidth="1"/>
    <col min="2" max="2" width="12.3984375" bestFit="1" customWidth="1"/>
    <col min="3" max="3" width="6.296875" style="1" bestFit="1" customWidth="1"/>
    <col min="7" max="7" width="23.59765625" bestFit="1" customWidth="1"/>
    <col min="8" max="8" width="9.19921875" bestFit="1" customWidth="1"/>
    <col min="13" max="13" width="21.19921875" bestFit="1" customWidth="1"/>
    <col min="14" max="14" width="12.3984375" bestFit="1" customWidth="1"/>
    <col min="15" max="15" width="6.296875" style="1" customWidth="1"/>
    <col min="16" max="16" width="12.3984375" bestFit="1" customWidth="1"/>
    <col min="17" max="17" width="6.296875" style="1" customWidth="1"/>
    <col min="20" max="20" width="27.296875" bestFit="1" customWidth="1"/>
    <col min="26" max="26" width="19.59765625" bestFit="1" customWidth="1"/>
    <col min="27" max="27" width="9.19921875" bestFit="1" customWidth="1"/>
  </cols>
  <sheetData>
    <row r="1" spans="1:36" x14ac:dyDescent="0.4">
      <c r="A1" s="3"/>
      <c r="B1" s="9" t="s">
        <v>134</v>
      </c>
      <c r="C1" s="9"/>
      <c r="D1" s="9" t="s">
        <v>2</v>
      </c>
      <c r="E1" s="9"/>
      <c r="G1" s="3"/>
      <c r="H1" s="9" t="s">
        <v>134</v>
      </c>
      <c r="I1" s="9"/>
      <c r="J1" s="9" t="s">
        <v>2</v>
      </c>
      <c r="K1" s="9"/>
      <c r="M1" s="3"/>
      <c r="N1" s="9" t="s">
        <v>134</v>
      </c>
      <c r="O1" s="9"/>
      <c r="P1" s="9" t="s">
        <v>2</v>
      </c>
      <c r="Q1" s="9"/>
      <c r="T1" s="3"/>
      <c r="U1" s="9" t="s">
        <v>134</v>
      </c>
      <c r="V1" s="9"/>
      <c r="W1" s="9" t="s">
        <v>2</v>
      </c>
      <c r="X1" s="9"/>
      <c r="Z1" s="3"/>
      <c r="AA1" s="9" t="s">
        <v>134</v>
      </c>
      <c r="AB1" s="9"/>
      <c r="AC1" s="9" t="s">
        <v>2</v>
      </c>
      <c r="AD1" s="9"/>
      <c r="AF1" s="3"/>
      <c r="AG1" s="9" t="s">
        <v>134</v>
      </c>
      <c r="AH1" s="9"/>
      <c r="AI1" s="9" t="s">
        <v>2</v>
      </c>
      <c r="AJ1" s="9"/>
    </row>
    <row r="2" spans="1:36" x14ac:dyDescent="0.4">
      <c r="A2" s="3" t="s">
        <v>140</v>
      </c>
      <c r="B2" s="3" t="s">
        <v>118</v>
      </c>
      <c r="C2" s="6" t="s">
        <v>163</v>
      </c>
      <c r="D2" s="3" t="s">
        <v>118</v>
      </c>
      <c r="E2" s="6" t="s">
        <v>163</v>
      </c>
      <c r="G2" s="3" t="s">
        <v>165</v>
      </c>
      <c r="H2" s="3" t="s">
        <v>118</v>
      </c>
      <c r="I2" s="6" t="s">
        <v>163</v>
      </c>
      <c r="J2" s="3" t="s">
        <v>118</v>
      </c>
      <c r="K2" s="6" t="s">
        <v>163</v>
      </c>
      <c r="M2" s="3" t="s">
        <v>171</v>
      </c>
      <c r="N2" s="3" t="s">
        <v>118</v>
      </c>
      <c r="O2" s="6" t="s">
        <v>163</v>
      </c>
      <c r="P2" s="3" t="s">
        <v>118</v>
      </c>
      <c r="Q2" s="6" t="s">
        <v>163</v>
      </c>
      <c r="T2" s="3" t="s">
        <v>178</v>
      </c>
      <c r="U2" s="3" t="s">
        <v>118</v>
      </c>
      <c r="V2" s="6" t="s">
        <v>163</v>
      </c>
      <c r="W2" s="3" t="s">
        <v>118</v>
      </c>
      <c r="X2" s="6" t="s">
        <v>163</v>
      </c>
      <c r="Z2" s="3" t="s">
        <v>187</v>
      </c>
      <c r="AA2" s="3" t="s">
        <v>118</v>
      </c>
      <c r="AB2" s="6" t="s">
        <v>163</v>
      </c>
      <c r="AC2" s="3" t="s">
        <v>118</v>
      </c>
      <c r="AD2" s="6" t="s">
        <v>163</v>
      </c>
      <c r="AF2" s="3" t="s">
        <v>194</v>
      </c>
      <c r="AG2" s="3" t="s">
        <v>118</v>
      </c>
      <c r="AH2" s="6" t="s">
        <v>163</v>
      </c>
      <c r="AI2" s="3" t="s">
        <v>118</v>
      </c>
      <c r="AJ2" s="6" t="s">
        <v>163</v>
      </c>
    </row>
    <row r="3" spans="1:36" x14ac:dyDescent="0.4">
      <c r="A3" s="3" t="s">
        <v>141</v>
      </c>
      <c r="B3" s="3">
        <v>5271</v>
      </c>
      <c r="C3" s="6">
        <v>1.9147985483712798E-2</v>
      </c>
      <c r="D3" s="3">
        <v>60</v>
      </c>
      <c r="E3" s="6">
        <v>4.13793103448276E-2</v>
      </c>
      <c r="G3" s="3" t="s">
        <v>141</v>
      </c>
      <c r="H3" s="8">
        <v>4530</v>
      </c>
      <c r="I3" s="6">
        <v>1.6456151440185699E-2</v>
      </c>
      <c r="J3" s="3">
        <v>71</v>
      </c>
      <c r="K3" s="6">
        <v>4.8965517241379299E-2</v>
      </c>
      <c r="M3" s="3" t="s">
        <v>141</v>
      </c>
      <c r="N3" s="8">
        <v>4530</v>
      </c>
      <c r="O3" s="6">
        <v>1.6456151440185699E-2</v>
      </c>
      <c r="P3" s="3">
        <v>71</v>
      </c>
      <c r="Q3" s="6">
        <v>4.8965517241379299E-2</v>
      </c>
      <c r="T3" s="3" t="s">
        <v>141</v>
      </c>
      <c r="U3" s="8">
        <v>4530</v>
      </c>
      <c r="V3" s="6">
        <v>1.6456151440185699E-2</v>
      </c>
      <c r="W3" s="3">
        <v>71</v>
      </c>
      <c r="X3" s="6">
        <v>4.8965517241379299E-2</v>
      </c>
      <c r="Z3" s="3" t="s">
        <v>141</v>
      </c>
      <c r="AA3" s="8">
        <v>2053</v>
      </c>
      <c r="AB3" s="6">
        <v>7.4579423635102102E-3</v>
      </c>
      <c r="AC3" s="8">
        <v>34</v>
      </c>
      <c r="AD3" s="6">
        <v>2.3448275862069001E-2</v>
      </c>
      <c r="AF3" s="3" t="s">
        <v>14</v>
      </c>
      <c r="AG3" s="8">
        <v>93647</v>
      </c>
      <c r="AH3" s="6">
        <v>0.34019187945233298</v>
      </c>
      <c r="AI3" s="3">
        <v>358</v>
      </c>
      <c r="AJ3" s="6">
        <v>0.24689655172413799</v>
      </c>
    </row>
    <row r="4" spans="1:36" x14ac:dyDescent="0.4">
      <c r="A4" s="3" t="s">
        <v>142</v>
      </c>
      <c r="B4" s="3">
        <v>57</v>
      </c>
      <c r="C4" s="6">
        <v>2.0706415719438999E-4</v>
      </c>
      <c r="D4" s="3">
        <v>0</v>
      </c>
      <c r="E4" s="6">
        <v>0</v>
      </c>
      <c r="G4" s="3" t="s">
        <v>166</v>
      </c>
      <c r="H4" s="8">
        <v>5709</v>
      </c>
      <c r="I4" s="6">
        <v>2.07391100600486E-2</v>
      </c>
      <c r="J4" s="3">
        <v>153</v>
      </c>
      <c r="K4" s="6">
        <v>0.10551724137931</v>
      </c>
      <c r="M4" s="3" t="s">
        <v>175</v>
      </c>
      <c r="N4" s="8">
        <v>18483</v>
      </c>
      <c r="O4" s="6">
        <v>6.7143277498664999E-2</v>
      </c>
      <c r="P4" s="3">
        <v>125</v>
      </c>
      <c r="Q4" s="6">
        <v>8.6206896551724102E-2</v>
      </c>
      <c r="T4" s="3" t="s">
        <v>179</v>
      </c>
      <c r="U4" s="8">
        <v>14616</v>
      </c>
      <c r="V4" s="6">
        <v>5.3095609150056101E-2</v>
      </c>
      <c r="W4" s="3">
        <v>176</v>
      </c>
      <c r="X4" s="6">
        <v>0.121379310344828</v>
      </c>
      <c r="Z4" s="3" t="s">
        <v>188</v>
      </c>
      <c r="AA4" s="8">
        <v>13706</v>
      </c>
      <c r="AB4" s="6">
        <v>4.9789848043970297E-2</v>
      </c>
      <c r="AC4" s="8">
        <v>135</v>
      </c>
      <c r="AD4" s="6">
        <v>9.3103448275862102E-2</v>
      </c>
      <c r="AF4" s="3" t="s">
        <v>13</v>
      </c>
      <c r="AG4" s="8">
        <v>14288</v>
      </c>
      <c r="AH4" s="6">
        <v>5.1904082070060302E-2</v>
      </c>
      <c r="AI4" s="3">
        <v>91</v>
      </c>
      <c r="AJ4" s="6">
        <v>6.2758620689655195E-2</v>
      </c>
    </row>
    <row r="5" spans="1:36" x14ac:dyDescent="0.4">
      <c r="A5" s="3" t="s">
        <v>143</v>
      </c>
      <c r="B5" s="3">
        <v>9263</v>
      </c>
      <c r="C5" s="6">
        <v>3.3649741896344398E-2</v>
      </c>
      <c r="D5" s="3">
        <v>63</v>
      </c>
      <c r="E5" s="6">
        <v>4.3448275862069001E-2</v>
      </c>
      <c r="G5" s="3" t="s">
        <v>167</v>
      </c>
      <c r="H5" s="8">
        <v>81846</v>
      </c>
      <c r="I5" s="6">
        <v>0.29732233350407</v>
      </c>
      <c r="J5" s="3">
        <v>492</v>
      </c>
      <c r="K5" s="6">
        <v>0.33931034482758599</v>
      </c>
      <c r="M5" s="3" t="s">
        <v>176</v>
      </c>
      <c r="N5" s="8">
        <v>71008</v>
      </c>
      <c r="O5" s="6">
        <v>0.257951082001039</v>
      </c>
      <c r="P5" s="3">
        <v>377</v>
      </c>
      <c r="Q5" s="6">
        <v>0.26</v>
      </c>
      <c r="T5" s="3" t="s">
        <v>180</v>
      </c>
      <c r="U5" s="8">
        <v>81739</v>
      </c>
      <c r="V5" s="6">
        <v>0.296933634121267</v>
      </c>
      <c r="W5" s="3">
        <v>461</v>
      </c>
      <c r="X5" s="6">
        <v>0.317931034482759</v>
      </c>
      <c r="Z5" s="3" t="s">
        <v>189</v>
      </c>
      <c r="AA5" s="8">
        <v>27784</v>
      </c>
      <c r="AB5" s="6">
        <v>0.100931062166472</v>
      </c>
      <c r="AC5" s="8">
        <v>312</v>
      </c>
      <c r="AD5" s="6">
        <v>0.21517241379310301</v>
      </c>
      <c r="AF5" s="3" t="s">
        <v>11</v>
      </c>
      <c r="AG5" s="8">
        <v>10103</v>
      </c>
      <c r="AH5" s="6">
        <v>3.67012136865775E-2</v>
      </c>
      <c r="AI5" s="3">
        <v>60</v>
      </c>
      <c r="AJ5" s="6">
        <v>4.13793103448276E-2</v>
      </c>
    </row>
    <row r="6" spans="1:36" x14ac:dyDescent="0.4">
      <c r="A6" s="3" t="s">
        <v>144</v>
      </c>
      <c r="B6" s="3">
        <v>21861</v>
      </c>
      <c r="C6" s="6">
        <v>7.9414553340816693E-2</v>
      </c>
      <c r="D6" s="3">
        <v>227</v>
      </c>
      <c r="E6" s="6">
        <v>0.156551724137931</v>
      </c>
      <c r="G6" s="3" t="s">
        <v>168</v>
      </c>
      <c r="H6" s="8">
        <v>115643</v>
      </c>
      <c r="I6" s="6">
        <v>0.42009684790229501</v>
      </c>
      <c r="J6" s="3">
        <v>432</v>
      </c>
      <c r="K6" s="6">
        <v>0.29793103448275898</v>
      </c>
      <c r="M6" s="3" t="s">
        <v>177</v>
      </c>
      <c r="N6" s="8">
        <v>72346</v>
      </c>
      <c r="O6" s="6">
        <v>0.26281164063833901</v>
      </c>
      <c r="P6" s="3">
        <v>384</v>
      </c>
      <c r="Q6" s="6">
        <v>0.264827586206897</v>
      </c>
      <c r="T6" s="3" t="s">
        <v>183</v>
      </c>
      <c r="U6" s="8">
        <v>59943</v>
      </c>
      <c r="V6" s="6">
        <v>0.21775520657374201</v>
      </c>
      <c r="W6" s="3">
        <v>218</v>
      </c>
      <c r="X6" s="6">
        <v>0.15034482758620701</v>
      </c>
      <c r="Z6" s="3" t="s">
        <v>55</v>
      </c>
      <c r="AA6" s="8">
        <v>9485</v>
      </c>
      <c r="AB6" s="6">
        <v>3.4456202298048903E-2</v>
      </c>
      <c r="AC6" s="8">
        <v>44</v>
      </c>
      <c r="AD6" s="6">
        <v>3.03448275862069E-2</v>
      </c>
      <c r="AF6" s="3" t="s">
        <v>17</v>
      </c>
      <c r="AG6" s="8">
        <v>9644</v>
      </c>
      <c r="AH6" s="6">
        <v>3.5033802315485897E-2</v>
      </c>
      <c r="AI6" s="3">
        <v>36</v>
      </c>
      <c r="AJ6" s="6">
        <v>2.4827586206896599E-2</v>
      </c>
    </row>
    <row r="7" spans="1:36" x14ac:dyDescent="0.4">
      <c r="A7" s="3" t="s">
        <v>145</v>
      </c>
      <c r="B7" s="3">
        <v>32</v>
      </c>
      <c r="C7" s="6">
        <v>1.16246544389833E-4</v>
      </c>
      <c r="D7" s="3">
        <v>0</v>
      </c>
      <c r="E7" s="6">
        <v>0</v>
      </c>
      <c r="G7" s="3" t="s">
        <v>169</v>
      </c>
      <c r="H7" s="8">
        <v>42854</v>
      </c>
      <c r="I7" s="6">
        <v>0.15567591916505899</v>
      </c>
      <c r="J7" s="3">
        <v>134</v>
      </c>
      <c r="K7" s="6">
        <v>9.24137931034483E-2</v>
      </c>
      <c r="M7" s="3" t="s">
        <v>173</v>
      </c>
      <c r="N7" s="8">
        <v>34842</v>
      </c>
      <c r="O7" s="6">
        <v>0.12657069061345499</v>
      </c>
      <c r="P7" s="3">
        <v>148</v>
      </c>
      <c r="Q7" s="6">
        <v>0.102068965517241</v>
      </c>
      <c r="T7" s="3" t="s">
        <v>184</v>
      </c>
      <c r="U7" s="8">
        <v>40438</v>
      </c>
      <c r="V7" s="6">
        <v>0.146899305063627</v>
      </c>
      <c r="W7" s="3">
        <v>192</v>
      </c>
      <c r="X7" s="6">
        <v>0.132413793103448</v>
      </c>
      <c r="Z7" s="3" t="s">
        <v>190</v>
      </c>
      <c r="AA7" s="8">
        <v>23793</v>
      </c>
      <c r="AB7" s="6">
        <v>8.6432938458352898E-2</v>
      </c>
      <c r="AC7" s="8">
        <v>115</v>
      </c>
      <c r="AD7" s="6">
        <v>7.9310344827586199E-2</v>
      </c>
      <c r="AF7" s="3" t="s">
        <v>10</v>
      </c>
      <c r="AG7" s="8">
        <v>6399</v>
      </c>
      <c r="AH7" s="6">
        <v>2.32456761734544E-2</v>
      </c>
      <c r="AI7" s="3">
        <v>44</v>
      </c>
      <c r="AJ7" s="6">
        <v>3.03448275862069E-2</v>
      </c>
    </row>
    <row r="8" spans="1:36" x14ac:dyDescent="0.4">
      <c r="A8" s="3" t="s">
        <v>146</v>
      </c>
      <c r="B8" s="3">
        <v>18530</v>
      </c>
      <c r="C8" s="6">
        <v>6.7314014610737494E-2</v>
      </c>
      <c r="D8" s="3">
        <v>137</v>
      </c>
      <c r="E8" s="6">
        <v>9.4482758620689694E-2</v>
      </c>
      <c r="G8" s="3" t="s">
        <v>170</v>
      </c>
      <c r="H8" s="8">
        <v>24695</v>
      </c>
      <c r="I8" s="6">
        <v>8.9709637928341301E-2</v>
      </c>
      <c r="J8" s="3">
        <v>168</v>
      </c>
      <c r="K8" s="6">
        <v>0.115862068965517</v>
      </c>
      <c r="M8" s="3" t="s">
        <v>172</v>
      </c>
      <c r="N8" s="8">
        <v>74068</v>
      </c>
      <c r="O8" s="6">
        <v>0.26906715780831703</v>
      </c>
      <c r="P8" s="3">
        <v>345</v>
      </c>
      <c r="Q8" s="6">
        <v>0.23793103448275901</v>
      </c>
      <c r="T8" s="3" t="s">
        <v>185</v>
      </c>
      <c r="U8" s="8">
        <v>44308</v>
      </c>
      <c r="V8" s="6">
        <v>0.16095787152577201</v>
      </c>
      <c r="W8" s="3">
        <v>208</v>
      </c>
      <c r="X8" s="6">
        <v>0.14344827586206901</v>
      </c>
      <c r="Z8" s="3" t="s">
        <v>191</v>
      </c>
      <c r="AA8" s="8">
        <v>41861</v>
      </c>
      <c r="AB8" s="6">
        <v>0.15206864358446201</v>
      </c>
      <c r="AC8" s="8">
        <v>260</v>
      </c>
      <c r="AD8" s="6">
        <v>0.17931034482758601</v>
      </c>
      <c r="AF8" s="3" t="s">
        <v>12</v>
      </c>
      <c r="AG8" s="8">
        <v>10320</v>
      </c>
      <c r="AH8" s="6">
        <v>3.7489510565721099E-2</v>
      </c>
      <c r="AI8" s="3">
        <v>66</v>
      </c>
      <c r="AJ8" s="6">
        <v>4.5517241379310298E-2</v>
      </c>
    </row>
    <row r="9" spans="1:36" x14ac:dyDescent="0.4">
      <c r="A9" s="3" t="s">
        <v>147</v>
      </c>
      <c r="B9" s="3">
        <v>60</v>
      </c>
      <c r="C9" s="6">
        <v>2.17962270730936E-4</v>
      </c>
      <c r="D9" s="3">
        <v>0</v>
      </c>
      <c r="E9" s="6">
        <v>0</v>
      </c>
      <c r="G9" s="3"/>
      <c r="H9" s="8">
        <v>0</v>
      </c>
      <c r="I9" s="6">
        <v>0</v>
      </c>
      <c r="J9" s="3">
        <v>0</v>
      </c>
      <c r="K9" s="6">
        <v>0</v>
      </c>
      <c r="T9" s="3" t="s">
        <v>186</v>
      </c>
      <c r="U9" s="8">
        <v>20721</v>
      </c>
      <c r="V9" s="6">
        <v>7.5273270196928893E-2</v>
      </c>
      <c r="W9" s="3">
        <v>96</v>
      </c>
      <c r="X9" s="6">
        <v>6.6206896551724098E-2</v>
      </c>
      <c r="Z9" s="3" t="s">
        <v>192</v>
      </c>
      <c r="AA9" s="8">
        <v>20633</v>
      </c>
      <c r="AB9" s="6">
        <v>7.4953592199856894E-2</v>
      </c>
      <c r="AC9" s="8">
        <v>64</v>
      </c>
      <c r="AD9" s="6">
        <v>4.4137931034482797E-2</v>
      </c>
      <c r="AF9" s="3" t="s">
        <v>16</v>
      </c>
      <c r="AG9" s="8">
        <v>4188</v>
      </c>
      <c r="AH9" s="6">
        <v>1.52137664970194E-2</v>
      </c>
      <c r="AI9" s="3">
        <v>32</v>
      </c>
      <c r="AJ9" s="6">
        <v>2.2068965517241398E-2</v>
      </c>
    </row>
    <row r="10" spans="1:36" x14ac:dyDescent="0.4">
      <c r="A10" s="3" t="s">
        <v>148</v>
      </c>
      <c r="B10" s="3">
        <v>8718</v>
      </c>
      <c r="C10" s="6">
        <v>3.1669917937205097E-2</v>
      </c>
      <c r="D10" s="3">
        <v>59</v>
      </c>
      <c r="E10" s="6">
        <v>4.0689655172413797E-2</v>
      </c>
      <c r="T10" s="3" t="s">
        <v>181</v>
      </c>
      <c r="U10" s="8">
        <v>8292</v>
      </c>
      <c r="V10" s="6">
        <v>3.01223858150154E-2</v>
      </c>
      <c r="W10" s="3">
        <v>25</v>
      </c>
      <c r="X10" s="6">
        <v>1.72413793103448E-2</v>
      </c>
      <c r="Z10" s="3" t="s">
        <v>193</v>
      </c>
      <c r="AA10" s="8">
        <v>135962</v>
      </c>
      <c r="AB10" s="6">
        <v>0.493909770885326</v>
      </c>
      <c r="AC10" s="8">
        <v>486</v>
      </c>
      <c r="AD10" s="6">
        <v>0.33517241379310297</v>
      </c>
      <c r="AF10" s="3" t="s">
        <v>15</v>
      </c>
      <c r="AG10" s="8">
        <v>2055</v>
      </c>
      <c r="AH10" s="6">
        <v>7.4652077725345699E-3</v>
      </c>
      <c r="AI10" s="3">
        <v>9</v>
      </c>
      <c r="AJ10" s="6">
        <v>6.2068965517241403E-3</v>
      </c>
    </row>
    <row r="11" spans="1:36" x14ac:dyDescent="0.4">
      <c r="A11" s="3" t="s">
        <v>149</v>
      </c>
      <c r="B11" s="3">
        <v>577</v>
      </c>
      <c r="C11" s="6">
        <v>2.09607050352917E-3</v>
      </c>
      <c r="D11" s="3">
        <v>8</v>
      </c>
      <c r="E11" s="6">
        <v>5.5172413793103401E-3</v>
      </c>
      <c r="T11" s="3" t="s">
        <v>182</v>
      </c>
      <c r="U11" s="8">
        <v>690</v>
      </c>
      <c r="V11" s="6">
        <v>2.50656611340577E-3</v>
      </c>
      <c r="W11" s="3">
        <v>3</v>
      </c>
      <c r="X11" s="6">
        <v>2.0689655172413798E-3</v>
      </c>
      <c r="AF11" s="3" t="s">
        <v>7</v>
      </c>
      <c r="AG11" s="8">
        <v>54383</v>
      </c>
      <c r="AH11" s="6">
        <v>0.19755736948600899</v>
      </c>
      <c r="AI11" s="3">
        <v>271</v>
      </c>
      <c r="AJ11" s="6">
        <v>0.18689655172413799</v>
      </c>
    </row>
    <row r="12" spans="1:36" x14ac:dyDescent="0.4">
      <c r="A12" s="3" t="s">
        <v>150</v>
      </c>
      <c r="B12" s="3">
        <v>21475</v>
      </c>
      <c r="C12" s="6">
        <v>7.8012329399114302E-2</v>
      </c>
      <c r="D12" s="3">
        <v>94</v>
      </c>
      <c r="E12" s="6">
        <v>6.4827586206896506E-2</v>
      </c>
      <c r="AF12" s="3" t="s">
        <v>6</v>
      </c>
      <c r="AG12" s="8">
        <v>5694</v>
      </c>
      <c r="AH12" s="6">
        <v>2.0684619492365899E-2</v>
      </c>
      <c r="AI12" s="3">
        <v>41</v>
      </c>
      <c r="AJ12" s="6">
        <v>2.8275862068965499E-2</v>
      </c>
    </row>
    <row r="13" spans="1:36" x14ac:dyDescent="0.4">
      <c r="A13" s="3" t="s">
        <v>151</v>
      </c>
      <c r="B13" s="3">
        <v>48652</v>
      </c>
      <c r="C13" s="6">
        <v>0.176738339926692</v>
      </c>
      <c r="D13" s="3">
        <v>177</v>
      </c>
      <c r="E13" s="6">
        <v>0.122068965517241</v>
      </c>
      <c r="AF13" s="3" t="s">
        <v>22</v>
      </c>
      <c r="AG13" s="8">
        <v>6929</v>
      </c>
      <c r="AH13" s="6">
        <v>2.5171009564911001E-2</v>
      </c>
      <c r="AI13" s="3">
        <v>38</v>
      </c>
      <c r="AJ13" s="6">
        <v>2.6206896551724101E-2</v>
      </c>
    </row>
    <row r="14" spans="1:36" x14ac:dyDescent="0.4">
      <c r="A14" s="3" t="s">
        <v>152</v>
      </c>
      <c r="B14" s="3">
        <v>3029</v>
      </c>
      <c r="C14" s="6">
        <v>1.10034619674001E-2</v>
      </c>
      <c r="D14" s="3">
        <v>32</v>
      </c>
      <c r="E14" s="6">
        <v>2.2068965517241398E-2</v>
      </c>
      <c r="AF14" s="3" t="s">
        <v>21</v>
      </c>
      <c r="AG14" s="8">
        <v>14048</v>
      </c>
      <c r="AH14" s="6">
        <v>5.1032232987136598E-2</v>
      </c>
      <c r="AI14" s="3">
        <v>45</v>
      </c>
      <c r="AJ14" s="6">
        <v>3.10344827586207E-2</v>
      </c>
    </row>
    <row r="15" spans="1:36" x14ac:dyDescent="0.4">
      <c r="A15" s="3" t="s">
        <v>153</v>
      </c>
      <c r="B15" s="3">
        <v>11796</v>
      </c>
      <c r="C15" s="6">
        <v>4.2851382425702099E-2</v>
      </c>
      <c r="D15" s="3">
        <v>83</v>
      </c>
      <c r="E15" s="6">
        <v>5.72413793103448E-2</v>
      </c>
      <c r="AF15" s="3" t="s">
        <v>19</v>
      </c>
      <c r="AG15" s="8">
        <v>6796</v>
      </c>
      <c r="AH15" s="6">
        <v>2.46878598647907E-2</v>
      </c>
      <c r="AI15" s="3">
        <v>56</v>
      </c>
      <c r="AJ15" s="6">
        <v>3.8620689655172402E-2</v>
      </c>
    </row>
    <row r="16" spans="1:36" x14ac:dyDescent="0.4">
      <c r="A16" s="3" t="s">
        <v>154</v>
      </c>
      <c r="B16" s="3">
        <v>857</v>
      </c>
      <c r="C16" s="6">
        <v>3.1132277669402098E-3</v>
      </c>
      <c r="D16" s="3">
        <v>4</v>
      </c>
      <c r="E16" s="6">
        <v>2.75862068965517E-3</v>
      </c>
      <c r="AF16" s="3" t="s">
        <v>18</v>
      </c>
      <c r="AG16" s="8">
        <v>7641</v>
      </c>
      <c r="AH16" s="6">
        <v>2.7757495177584801E-2</v>
      </c>
      <c r="AI16" s="3">
        <v>68</v>
      </c>
      <c r="AJ16" s="6">
        <v>4.6896551724137897E-2</v>
      </c>
    </row>
    <row r="17" spans="1:36" x14ac:dyDescent="0.4">
      <c r="A17" s="3" t="s">
        <v>155</v>
      </c>
      <c r="B17" s="3">
        <v>9773</v>
      </c>
      <c r="C17" s="6">
        <v>3.55024211975574E-2</v>
      </c>
      <c r="D17" s="3">
        <v>27</v>
      </c>
      <c r="E17" s="6">
        <v>1.8620689655172398E-2</v>
      </c>
      <c r="AF17" s="3" t="s">
        <v>9</v>
      </c>
      <c r="AG17" s="8">
        <v>9969</v>
      </c>
      <c r="AH17" s="6">
        <v>3.6214431281945098E-2</v>
      </c>
      <c r="AI17" s="3">
        <v>65</v>
      </c>
      <c r="AJ17" s="6">
        <v>4.48275862068966E-2</v>
      </c>
    </row>
    <row r="18" spans="1:36" x14ac:dyDescent="0.4">
      <c r="A18" s="3" t="s">
        <v>156</v>
      </c>
      <c r="B18" s="3">
        <v>3141</v>
      </c>
      <c r="C18" s="6">
        <v>1.1410324872764501E-2</v>
      </c>
      <c r="D18" s="3">
        <v>18</v>
      </c>
      <c r="E18" s="6">
        <v>1.24137931034483E-2</v>
      </c>
      <c r="AF18" s="3" t="s">
        <v>8</v>
      </c>
      <c r="AG18" s="8">
        <v>11988</v>
      </c>
      <c r="AH18" s="6">
        <v>4.3548861692041099E-2</v>
      </c>
      <c r="AI18" s="3">
        <v>82</v>
      </c>
      <c r="AJ18" s="6">
        <v>5.6551724137930998E-2</v>
      </c>
    </row>
    <row r="19" spans="1:36" x14ac:dyDescent="0.4">
      <c r="A19" s="3" t="s">
        <v>157</v>
      </c>
      <c r="B19" s="3">
        <v>6099</v>
      </c>
      <c r="C19" s="6">
        <v>2.2155864819799701E-2</v>
      </c>
      <c r="D19" s="3">
        <v>34</v>
      </c>
      <c r="E19" s="6">
        <v>2.3448275862069001E-2</v>
      </c>
      <c r="AF19" s="3" t="s">
        <v>20</v>
      </c>
      <c r="AG19" s="8">
        <v>2655</v>
      </c>
      <c r="AH19" s="6">
        <v>9.6448304798439407E-3</v>
      </c>
      <c r="AI19" s="3">
        <v>17</v>
      </c>
      <c r="AJ19" s="6">
        <v>1.17241379310345E-2</v>
      </c>
    </row>
    <row r="20" spans="1:36" x14ac:dyDescent="0.4">
      <c r="A20" s="3" t="s">
        <v>158</v>
      </c>
      <c r="B20" s="3">
        <v>1846</v>
      </c>
      <c r="C20" s="6">
        <v>6.7059725294884801E-3</v>
      </c>
      <c r="D20" s="3">
        <v>35</v>
      </c>
      <c r="E20" s="6">
        <v>2.41379310344828E-2</v>
      </c>
      <c r="AF20" s="3" t="s">
        <v>141</v>
      </c>
      <c r="AG20" s="8">
        <v>4530</v>
      </c>
      <c r="AH20" s="6">
        <v>1.6456151440185699E-2</v>
      </c>
      <c r="AI20" s="3">
        <v>71</v>
      </c>
      <c r="AJ20" s="6">
        <v>4.8965517241379299E-2</v>
      </c>
    </row>
    <row r="21" spans="1:36" x14ac:dyDescent="0.4">
      <c r="A21" s="3" t="s">
        <v>159</v>
      </c>
      <c r="B21" s="3">
        <v>26782</v>
      </c>
      <c r="C21" s="6">
        <v>9.7291092245265706E-2</v>
      </c>
      <c r="D21" s="3">
        <v>84</v>
      </c>
      <c r="E21" s="6">
        <v>5.7931034482758603E-2</v>
      </c>
    </row>
    <row r="22" spans="1:36" x14ac:dyDescent="0.4">
      <c r="A22" s="3" t="s">
        <v>160</v>
      </c>
      <c r="B22" s="3">
        <v>21120</v>
      </c>
      <c r="C22" s="6">
        <v>7.6722719297289604E-2</v>
      </c>
      <c r="D22" s="3">
        <v>65</v>
      </c>
      <c r="E22" s="6">
        <v>4.48275862068966E-2</v>
      </c>
    </row>
    <row r="23" spans="1:36" x14ac:dyDescent="0.4">
      <c r="A23" s="3" t="s">
        <v>161</v>
      </c>
      <c r="B23" s="3">
        <v>50146</v>
      </c>
      <c r="C23" s="6">
        <v>0.18216560046789201</v>
      </c>
      <c r="D23" s="3">
        <v>183</v>
      </c>
      <c r="E23" s="6">
        <v>0.12620689655172401</v>
      </c>
    </row>
    <row r="24" spans="1:36" x14ac:dyDescent="0.4">
      <c r="A24" s="3" t="s">
        <v>162</v>
      </c>
      <c r="B24" s="3">
        <v>6192</v>
      </c>
      <c r="C24" s="6">
        <v>2.2493706339432599E-2</v>
      </c>
      <c r="D24" s="3">
        <v>60</v>
      </c>
      <c r="E24" s="6">
        <v>4.13793103448276E-2</v>
      </c>
    </row>
    <row r="25" spans="1:36" x14ac:dyDescent="0.4">
      <c r="A25" s="16" t="s">
        <v>164</v>
      </c>
      <c r="B25" s="16"/>
      <c r="C25" s="16"/>
      <c r="D25" s="16"/>
      <c r="E25" s="16"/>
    </row>
  </sheetData>
  <mergeCells count="13">
    <mergeCell ref="AC1:AD1"/>
    <mergeCell ref="AG1:AH1"/>
    <mergeCell ref="AI1:AJ1"/>
    <mergeCell ref="J1:K1"/>
    <mergeCell ref="N1:O1"/>
    <mergeCell ref="P1:Q1"/>
    <mergeCell ref="U1:V1"/>
    <mergeCell ref="W1:X1"/>
    <mergeCell ref="AA1:AB1"/>
    <mergeCell ref="D1:E1"/>
    <mergeCell ref="B1:C1"/>
    <mergeCell ref="A25:E25"/>
    <mergeCell ref="H1:I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topLeftCell="K1" zoomScale="85" zoomScaleNormal="85" workbookViewId="0">
      <selection activeCell="T56" sqref="T56"/>
    </sheetView>
  </sheetViews>
  <sheetFormatPr defaultRowHeight="17.399999999999999" x14ac:dyDescent="0.4"/>
  <cols>
    <col min="1" max="1" width="57.296875" bestFit="1" customWidth="1"/>
    <col min="2" max="2" width="13.19921875" bestFit="1" customWidth="1"/>
    <col min="3" max="6" width="14.296875" bestFit="1" customWidth="1"/>
    <col min="7" max="7" width="13.19921875" bestFit="1" customWidth="1"/>
    <col min="8" max="11" width="14.296875" bestFit="1" customWidth="1"/>
    <col min="12" max="12" width="14.296875" customWidth="1"/>
    <col min="14" max="14" width="25.19921875" bestFit="1" customWidth="1"/>
    <col min="15" max="15" width="13.19921875" style="13" bestFit="1" customWidth="1"/>
    <col min="16" max="19" width="14.296875" bestFit="1" customWidth="1"/>
    <col min="20" max="20" width="13.19921875" bestFit="1" customWidth="1"/>
    <col min="21" max="24" width="14.296875" bestFit="1" customWidth="1"/>
  </cols>
  <sheetData>
    <row r="1" spans="1:24" x14ac:dyDescent="0.4">
      <c r="A1" s="3"/>
      <c r="B1" s="9" t="s">
        <v>199</v>
      </c>
      <c r="C1" s="9"/>
      <c r="D1" s="9"/>
      <c r="E1" s="9"/>
      <c r="F1" s="9"/>
      <c r="G1" s="9" t="s">
        <v>200</v>
      </c>
      <c r="H1" s="9"/>
      <c r="I1" s="9"/>
      <c r="J1" s="9"/>
      <c r="K1" s="9"/>
      <c r="L1" s="17"/>
      <c r="N1" s="3"/>
      <c r="O1" s="9" t="s">
        <v>199</v>
      </c>
      <c r="P1" s="9"/>
      <c r="Q1" s="9"/>
      <c r="R1" s="9"/>
      <c r="S1" s="9"/>
      <c r="T1" s="9" t="s">
        <v>201</v>
      </c>
      <c r="U1" s="9"/>
      <c r="V1" s="9"/>
      <c r="W1" s="9"/>
      <c r="X1" s="9"/>
    </row>
    <row r="2" spans="1:24" x14ac:dyDescent="0.4">
      <c r="A2" s="3" t="s">
        <v>140</v>
      </c>
      <c r="B2" s="3" t="s">
        <v>118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118</v>
      </c>
      <c r="H2" s="3" t="s">
        <v>195</v>
      </c>
      <c r="I2" s="3" t="s">
        <v>196</v>
      </c>
      <c r="J2" s="3" t="s">
        <v>197</v>
      </c>
      <c r="K2" s="3" t="s">
        <v>198</v>
      </c>
      <c r="L2" s="14"/>
      <c r="N2" s="3" t="s">
        <v>165</v>
      </c>
      <c r="O2" s="8" t="s">
        <v>118</v>
      </c>
      <c r="P2" s="3" t="s">
        <v>195</v>
      </c>
      <c r="Q2" s="3" t="s">
        <v>196</v>
      </c>
      <c r="R2" s="3" t="s">
        <v>197</v>
      </c>
      <c r="S2" s="3" t="s">
        <v>198</v>
      </c>
      <c r="T2" s="3" t="s">
        <v>118</v>
      </c>
      <c r="U2" s="3" t="s">
        <v>195</v>
      </c>
      <c r="V2" s="3" t="s">
        <v>196</v>
      </c>
      <c r="W2" s="3" t="s">
        <v>197</v>
      </c>
      <c r="X2" s="3" t="s">
        <v>198</v>
      </c>
    </row>
    <row r="3" spans="1:24" x14ac:dyDescent="0.4">
      <c r="A3" s="3" t="s">
        <v>141</v>
      </c>
      <c r="B3" s="8">
        <v>5271</v>
      </c>
      <c r="C3" s="6">
        <v>0.93834187061278695</v>
      </c>
      <c r="D3" s="6">
        <v>0.89850123316258801</v>
      </c>
      <c r="E3" s="6">
        <v>0.86017833428192003</v>
      </c>
      <c r="F3" s="6">
        <v>0.84689812179851998</v>
      </c>
      <c r="G3" s="3">
        <v>60</v>
      </c>
      <c r="H3" s="6">
        <v>0.95</v>
      </c>
      <c r="I3" s="6">
        <v>0.93333333333333302</v>
      </c>
      <c r="J3" s="6">
        <v>0.86666666666666703</v>
      </c>
      <c r="K3" s="6">
        <v>0.85</v>
      </c>
      <c r="L3" s="15"/>
      <c r="N3" s="3" t="s">
        <v>141</v>
      </c>
      <c r="O3" s="8">
        <v>4530</v>
      </c>
      <c r="P3" s="6">
        <v>0.89536423841059598</v>
      </c>
      <c r="Q3" s="6">
        <v>0.85121412803532004</v>
      </c>
      <c r="R3" s="6">
        <v>0.79602649006622495</v>
      </c>
      <c r="S3" s="6">
        <v>0.78079470198675505</v>
      </c>
      <c r="T3" s="3">
        <v>71</v>
      </c>
      <c r="U3" s="6">
        <v>0.98591549295774605</v>
      </c>
      <c r="V3" s="6">
        <v>0.971830985915493</v>
      </c>
      <c r="W3" s="6">
        <v>0.92957746478873204</v>
      </c>
      <c r="X3" s="6">
        <v>0.91549295774647899</v>
      </c>
    </row>
    <row r="4" spans="1:24" x14ac:dyDescent="0.4">
      <c r="A4" s="3" t="s">
        <v>142</v>
      </c>
      <c r="B4" s="8">
        <v>57</v>
      </c>
      <c r="C4" s="6">
        <v>0.98245614035087703</v>
      </c>
      <c r="D4" s="6">
        <v>0.96491228070175405</v>
      </c>
      <c r="E4" s="6">
        <v>0.94736842105263197</v>
      </c>
      <c r="F4" s="6">
        <v>0.89473684210526305</v>
      </c>
      <c r="G4" s="3"/>
      <c r="H4" s="6"/>
      <c r="I4" s="6"/>
      <c r="J4" s="6"/>
      <c r="K4" s="6"/>
      <c r="L4" s="15"/>
      <c r="N4" s="3" t="s">
        <v>166</v>
      </c>
      <c r="O4" s="8">
        <v>5709</v>
      </c>
      <c r="P4" s="6">
        <v>0.74093536521282199</v>
      </c>
      <c r="Q4" s="6">
        <v>0.65037659835347705</v>
      </c>
      <c r="R4" s="6">
        <v>0.55631459099667202</v>
      </c>
      <c r="S4" s="6">
        <v>0.53021544929059405</v>
      </c>
      <c r="T4" s="3">
        <v>153</v>
      </c>
      <c r="U4" s="6">
        <v>0.86274509803921595</v>
      </c>
      <c r="V4" s="6">
        <v>0.82352941176470595</v>
      </c>
      <c r="W4" s="6">
        <v>0.73856209150326801</v>
      </c>
      <c r="X4" s="6">
        <v>0.71241830065359502</v>
      </c>
    </row>
    <row r="5" spans="1:24" x14ac:dyDescent="0.4">
      <c r="A5" s="3" t="s">
        <v>143</v>
      </c>
      <c r="B5" s="8">
        <v>9263</v>
      </c>
      <c r="C5" s="6">
        <v>0.90478246788297501</v>
      </c>
      <c r="D5" s="6">
        <v>0.85587822519701995</v>
      </c>
      <c r="E5" s="6">
        <v>0.80049659937385298</v>
      </c>
      <c r="F5" s="6">
        <v>0.78214401381841703</v>
      </c>
      <c r="G5" s="3">
        <v>63</v>
      </c>
      <c r="H5" s="6">
        <v>0.96825396825396803</v>
      </c>
      <c r="I5" s="6">
        <v>0.90476190476190499</v>
      </c>
      <c r="J5" s="6">
        <v>0.85714285714285698</v>
      </c>
      <c r="K5" s="6">
        <v>0.82539682539682502</v>
      </c>
      <c r="L5" s="15"/>
      <c r="N5" s="3" t="s">
        <v>167</v>
      </c>
      <c r="O5" s="8">
        <v>81846</v>
      </c>
      <c r="P5" s="6">
        <v>0.89934755516457698</v>
      </c>
      <c r="Q5" s="6">
        <v>0.83556923979180397</v>
      </c>
      <c r="R5" s="6">
        <v>0.76094127996481198</v>
      </c>
      <c r="S5" s="6">
        <v>0.73677394130440099</v>
      </c>
      <c r="T5" s="3">
        <v>492</v>
      </c>
      <c r="U5" s="6">
        <v>0.85569105691056901</v>
      </c>
      <c r="V5" s="6">
        <v>0.80691056910569103</v>
      </c>
      <c r="W5" s="6">
        <v>0.75609756097560998</v>
      </c>
      <c r="X5" s="6">
        <v>0.73577235772357696</v>
      </c>
    </row>
    <row r="6" spans="1:24" x14ac:dyDescent="0.4">
      <c r="A6" s="3" t="s">
        <v>144</v>
      </c>
      <c r="B6" s="8">
        <v>21861</v>
      </c>
      <c r="C6" s="6">
        <v>0.94583962307305203</v>
      </c>
      <c r="D6" s="6">
        <v>0.93568455239924997</v>
      </c>
      <c r="E6" s="6">
        <v>0.92379122638488598</v>
      </c>
      <c r="F6" s="6">
        <v>0.92036045926535803</v>
      </c>
      <c r="G6" s="3">
        <v>227</v>
      </c>
      <c r="H6" s="6">
        <v>0.82378854625550701</v>
      </c>
      <c r="I6" s="6">
        <v>0.81057268722467002</v>
      </c>
      <c r="J6" s="6">
        <v>0.79735682819383302</v>
      </c>
      <c r="K6" s="6">
        <v>0.78414096916299603</v>
      </c>
      <c r="L6" s="15"/>
      <c r="N6" s="3" t="s">
        <v>168</v>
      </c>
      <c r="O6" s="8">
        <v>115643</v>
      </c>
      <c r="P6" s="6">
        <v>0.94421625174027002</v>
      </c>
      <c r="Q6" s="6">
        <v>0.90577034494089603</v>
      </c>
      <c r="R6" s="6">
        <v>0.85570246361647495</v>
      </c>
      <c r="S6" s="6">
        <v>0.83903911174908996</v>
      </c>
      <c r="T6" s="3">
        <v>432</v>
      </c>
      <c r="U6" s="6">
        <v>0.96527777777777801</v>
      </c>
      <c r="V6" s="6">
        <v>0.92129629629629595</v>
      </c>
      <c r="W6" s="6">
        <v>0.86342592592592604</v>
      </c>
      <c r="X6" s="6">
        <v>0.84027777777777801</v>
      </c>
    </row>
    <row r="7" spans="1:24" x14ac:dyDescent="0.4">
      <c r="A7" s="3" t="s">
        <v>145</v>
      </c>
      <c r="B7" s="8">
        <v>32</v>
      </c>
      <c r="C7" s="6">
        <v>1</v>
      </c>
      <c r="D7" s="6">
        <v>0.9375</v>
      </c>
      <c r="E7" s="6">
        <v>0.875</v>
      </c>
      <c r="F7" s="6">
        <v>0.875</v>
      </c>
      <c r="G7" s="3"/>
      <c r="H7" s="6"/>
      <c r="I7" s="6"/>
      <c r="J7" s="6"/>
      <c r="K7" s="6"/>
      <c r="L7" s="15"/>
      <c r="N7" s="3" t="s">
        <v>169</v>
      </c>
      <c r="O7" s="8">
        <v>42854</v>
      </c>
      <c r="P7" s="6">
        <v>0.97482148690904002</v>
      </c>
      <c r="Q7" s="6">
        <v>0.95251318430018195</v>
      </c>
      <c r="R7" s="6">
        <v>0.92474448126195896</v>
      </c>
      <c r="S7" s="6">
        <v>0.91461707191860697</v>
      </c>
      <c r="T7" s="3">
        <v>134</v>
      </c>
      <c r="U7" s="6">
        <v>0.99253731343283602</v>
      </c>
      <c r="V7" s="6">
        <v>0.98507462686567204</v>
      </c>
      <c r="W7" s="6">
        <v>0.97761194029850795</v>
      </c>
      <c r="X7" s="6">
        <v>0.962686567164179</v>
      </c>
    </row>
    <row r="8" spans="1:24" x14ac:dyDescent="0.4">
      <c r="A8" s="3" t="s">
        <v>146</v>
      </c>
      <c r="B8" s="8">
        <v>18530</v>
      </c>
      <c r="C8" s="6">
        <v>1.10393955747437</v>
      </c>
      <c r="D8" s="6">
        <v>1.06481381543443</v>
      </c>
      <c r="E8" s="6">
        <v>0.99433351322180297</v>
      </c>
      <c r="F8" s="6">
        <v>0.97603885590933603</v>
      </c>
      <c r="G8" s="3">
        <v>137</v>
      </c>
      <c r="H8" s="6">
        <v>1</v>
      </c>
      <c r="I8" s="6">
        <v>0.97080291970802901</v>
      </c>
      <c r="J8" s="6">
        <v>0.934306569343066</v>
      </c>
      <c r="K8" s="6">
        <v>0.92700729927007297</v>
      </c>
      <c r="L8" s="15"/>
      <c r="N8" s="3" t="s">
        <v>170</v>
      </c>
      <c r="O8" s="8">
        <v>24695</v>
      </c>
      <c r="P8" s="6">
        <v>0.97566308969426996</v>
      </c>
      <c r="Q8" s="6">
        <v>0.96092326381858695</v>
      </c>
      <c r="R8" s="6">
        <v>0.94241749341972103</v>
      </c>
      <c r="S8" s="6">
        <v>0.93533103867179601</v>
      </c>
      <c r="T8" s="3">
        <v>168</v>
      </c>
      <c r="U8" s="6">
        <v>0.98809523809523803</v>
      </c>
      <c r="V8" s="6">
        <v>0.97619047619047605</v>
      </c>
      <c r="W8" s="6">
        <v>0.96428571428571397</v>
      </c>
      <c r="X8" s="6">
        <v>0.96428571428571397</v>
      </c>
    </row>
    <row r="9" spans="1:24" x14ac:dyDescent="0.4">
      <c r="A9" s="3" t="s">
        <v>147</v>
      </c>
      <c r="B9" s="8">
        <v>60</v>
      </c>
      <c r="C9" s="6">
        <v>0.96666666666666701</v>
      </c>
      <c r="D9" s="6">
        <v>0.96666666666666701</v>
      </c>
      <c r="E9" s="6">
        <v>0.93333333333333302</v>
      </c>
      <c r="F9" s="6">
        <v>0.93333333333333302</v>
      </c>
      <c r="G9" s="3"/>
      <c r="H9" s="6"/>
      <c r="I9" s="6"/>
      <c r="J9" s="6"/>
      <c r="K9" s="6"/>
      <c r="L9" s="15"/>
    </row>
    <row r="10" spans="1:24" x14ac:dyDescent="0.4">
      <c r="A10" s="3" t="s">
        <v>148</v>
      </c>
      <c r="B10" s="8">
        <v>8718</v>
      </c>
      <c r="C10" s="6">
        <v>0.92452397338839198</v>
      </c>
      <c r="D10" s="6">
        <v>0.89940353292039499</v>
      </c>
      <c r="E10" s="6">
        <v>0.87279192475338396</v>
      </c>
      <c r="F10" s="6">
        <v>0.86281257169075498</v>
      </c>
      <c r="G10" s="3">
        <v>59</v>
      </c>
      <c r="H10" s="6">
        <v>0.98305084745762705</v>
      </c>
      <c r="I10" s="6">
        <v>0.94915254237288105</v>
      </c>
      <c r="J10" s="6">
        <v>0.91525423728813604</v>
      </c>
      <c r="K10" s="6">
        <v>0.91525423728813604</v>
      </c>
      <c r="L10" s="15"/>
    </row>
    <row r="11" spans="1:24" x14ac:dyDescent="0.4">
      <c r="A11" s="3" t="s">
        <v>149</v>
      </c>
      <c r="B11" s="8">
        <v>577</v>
      </c>
      <c r="C11" s="6">
        <v>0.90641247833622196</v>
      </c>
      <c r="D11" s="6">
        <v>0.87001733102252998</v>
      </c>
      <c r="E11" s="6">
        <v>0.79376083188908098</v>
      </c>
      <c r="F11" s="6">
        <v>0.76776429809358704</v>
      </c>
      <c r="G11" s="3">
        <v>8</v>
      </c>
      <c r="H11" s="6">
        <v>1</v>
      </c>
      <c r="I11" s="6">
        <v>1</v>
      </c>
      <c r="J11" s="6">
        <v>1</v>
      </c>
      <c r="K11" s="6">
        <v>1</v>
      </c>
      <c r="L11" s="15"/>
    </row>
    <row r="12" spans="1:24" x14ac:dyDescent="0.4">
      <c r="A12" s="3" t="s">
        <v>150</v>
      </c>
      <c r="B12" s="8">
        <v>21475</v>
      </c>
      <c r="C12" s="6">
        <v>0.89532013969732205</v>
      </c>
      <c r="D12" s="6">
        <v>0.83064027939464502</v>
      </c>
      <c r="E12" s="6">
        <v>0.75450523864959296</v>
      </c>
      <c r="F12" s="6">
        <v>0.73126891734575095</v>
      </c>
      <c r="G12" s="3">
        <v>94</v>
      </c>
      <c r="H12" s="6">
        <v>0.94680851063829796</v>
      </c>
      <c r="I12" s="6">
        <v>0.91489361702127703</v>
      </c>
      <c r="J12" s="6">
        <v>0.82978723404255295</v>
      </c>
      <c r="K12" s="6">
        <v>0.79787234042553201</v>
      </c>
      <c r="L12" s="15"/>
      <c r="N12" s="3"/>
      <c r="O12" s="9" t="s">
        <v>199</v>
      </c>
      <c r="P12" s="9"/>
      <c r="Q12" s="9"/>
      <c r="R12" s="9"/>
      <c r="S12" s="9"/>
      <c r="T12" s="9" t="s">
        <v>201</v>
      </c>
      <c r="U12" s="9"/>
      <c r="V12" s="9"/>
      <c r="W12" s="9"/>
      <c r="X12" s="9"/>
    </row>
    <row r="13" spans="1:24" x14ac:dyDescent="0.4">
      <c r="A13" s="3" t="s">
        <v>151</v>
      </c>
      <c r="B13" s="8">
        <v>48652</v>
      </c>
      <c r="C13" s="6">
        <v>0.92631340952067698</v>
      </c>
      <c r="D13" s="6">
        <v>0.890980843541889</v>
      </c>
      <c r="E13" s="6">
        <v>0.84469292115432004</v>
      </c>
      <c r="F13" s="6">
        <v>0.827078023513936</v>
      </c>
      <c r="G13" s="3">
        <v>177</v>
      </c>
      <c r="H13" s="6">
        <v>0.94350282485875703</v>
      </c>
      <c r="I13" s="6">
        <v>0.88700564971751406</v>
      </c>
      <c r="J13" s="6">
        <v>0.80790960451977401</v>
      </c>
      <c r="K13" s="6">
        <v>0.79661016949152497</v>
      </c>
      <c r="L13" s="15"/>
      <c r="N13" s="3" t="s">
        <v>171</v>
      </c>
      <c r="O13" s="8" t="s">
        <v>118</v>
      </c>
      <c r="P13" s="3" t="s">
        <v>195</v>
      </c>
      <c r="Q13" s="3" t="s">
        <v>196</v>
      </c>
      <c r="R13" s="3" t="s">
        <v>197</v>
      </c>
      <c r="S13" s="3" t="s">
        <v>198</v>
      </c>
      <c r="T13" s="3" t="s">
        <v>118</v>
      </c>
      <c r="U13" s="3" t="s">
        <v>195</v>
      </c>
      <c r="V13" s="3" t="s">
        <v>196</v>
      </c>
      <c r="W13" s="3" t="s">
        <v>197</v>
      </c>
      <c r="X13" s="3" t="s">
        <v>198</v>
      </c>
    </row>
    <row r="14" spans="1:24" x14ac:dyDescent="0.4">
      <c r="A14" s="3" t="s">
        <v>152</v>
      </c>
      <c r="B14" s="8">
        <v>3029</v>
      </c>
      <c r="C14" s="6">
        <v>0.97689006272697299</v>
      </c>
      <c r="D14" s="6">
        <v>0.93199075602509096</v>
      </c>
      <c r="E14" s="6">
        <v>0.87355562892043603</v>
      </c>
      <c r="F14" s="6">
        <v>0.85506767910201398</v>
      </c>
      <c r="G14" s="3">
        <v>32</v>
      </c>
      <c r="H14" s="6">
        <v>0.78125</v>
      </c>
      <c r="I14" s="6">
        <v>0.78125</v>
      </c>
      <c r="J14" s="6">
        <v>0.75</v>
      </c>
      <c r="K14" s="6">
        <v>0.75</v>
      </c>
      <c r="L14" s="15"/>
      <c r="N14" s="3" t="s">
        <v>141</v>
      </c>
      <c r="O14" s="8">
        <v>4530</v>
      </c>
      <c r="P14" s="6">
        <v>0.89536423841059598</v>
      </c>
      <c r="Q14" s="6">
        <v>0.85121412803532004</v>
      </c>
      <c r="R14" s="6">
        <v>0.79602649006622495</v>
      </c>
      <c r="S14" s="6">
        <v>0.78079470198675505</v>
      </c>
      <c r="T14" s="3">
        <v>71</v>
      </c>
      <c r="U14" s="6">
        <v>0.98591549295774605</v>
      </c>
      <c r="V14" s="6">
        <v>0.971830985915493</v>
      </c>
      <c r="W14" s="6">
        <v>0.92957746478873204</v>
      </c>
      <c r="X14" s="6">
        <v>0.91549295774647899</v>
      </c>
    </row>
    <row r="15" spans="1:24" x14ac:dyDescent="0.4">
      <c r="A15" s="3" t="s">
        <v>153</v>
      </c>
      <c r="B15" s="8">
        <v>11796</v>
      </c>
      <c r="C15" s="6">
        <v>0.88784333672431304</v>
      </c>
      <c r="D15" s="6">
        <v>0.81985418786029196</v>
      </c>
      <c r="E15" s="6">
        <v>0.735418786029162</v>
      </c>
      <c r="F15" s="6">
        <v>0.70693455408613104</v>
      </c>
      <c r="G15" s="3">
        <v>83</v>
      </c>
      <c r="H15" s="6">
        <v>0.91566265060241003</v>
      </c>
      <c r="I15" s="6">
        <v>0.86746987951807197</v>
      </c>
      <c r="J15" s="6">
        <v>0.78313253012048201</v>
      </c>
      <c r="K15" s="6">
        <v>0.73493975903614495</v>
      </c>
      <c r="L15" s="15"/>
      <c r="N15" s="3" t="s">
        <v>175</v>
      </c>
      <c r="O15" s="8">
        <v>18483</v>
      </c>
      <c r="P15" s="6">
        <v>0.86327977060001104</v>
      </c>
      <c r="Q15" s="6">
        <v>0.78910350051398603</v>
      </c>
      <c r="R15" s="6">
        <v>0.69939944814153499</v>
      </c>
      <c r="S15" s="6">
        <v>0.67521506248985597</v>
      </c>
      <c r="T15" s="3">
        <v>125</v>
      </c>
      <c r="U15" s="6">
        <v>0.95199999999999996</v>
      </c>
      <c r="V15" s="6">
        <v>0.88800000000000001</v>
      </c>
      <c r="W15" s="6">
        <v>0.78400000000000003</v>
      </c>
      <c r="X15" s="6">
        <v>0.76</v>
      </c>
    </row>
    <row r="16" spans="1:24" x14ac:dyDescent="0.4">
      <c r="A16" s="3" t="s">
        <v>154</v>
      </c>
      <c r="B16" s="8">
        <v>857</v>
      </c>
      <c r="C16" s="6">
        <v>0.92182030338389698</v>
      </c>
      <c r="D16" s="6">
        <v>0.89964994165694301</v>
      </c>
      <c r="E16" s="6">
        <v>0.87047841306884499</v>
      </c>
      <c r="F16" s="6">
        <v>0.85414235705951003</v>
      </c>
      <c r="G16" s="3">
        <v>4</v>
      </c>
      <c r="H16" s="6">
        <v>1</v>
      </c>
      <c r="I16" s="6">
        <v>1</v>
      </c>
      <c r="J16" s="6">
        <v>1</v>
      </c>
      <c r="K16" s="6">
        <v>1</v>
      </c>
      <c r="L16" s="15"/>
      <c r="N16" s="3" t="s">
        <v>176</v>
      </c>
      <c r="O16" s="8">
        <v>71008</v>
      </c>
      <c r="P16" s="6">
        <v>0.89340637674628198</v>
      </c>
      <c r="Q16" s="6">
        <v>0.84039826498422698</v>
      </c>
      <c r="R16" s="6">
        <v>0.77685612888688604</v>
      </c>
      <c r="S16" s="6">
        <v>0.75635139702568699</v>
      </c>
      <c r="T16" s="3">
        <v>377</v>
      </c>
      <c r="U16" s="6">
        <v>0.87533156498673703</v>
      </c>
      <c r="V16" s="6">
        <v>0.83023872679045096</v>
      </c>
      <c r="W16" s="6">
        <v>0.77718832891246703</v>
      </c>
      <c r="X16" s="6">
        <v>0.76392572944297099</v>
      </c>
    </row>
    <row r="17" spans="1:24" x14ac:dyDescent="0.4">
      <c r="A17" s="3" t="s">
        <v>155</v>
      </c>
      <c r="B17" s="8">
        <v>9773</v>
      </c>
      <c r="C17" s="6">
        <v>0.83341860227156495</v>
      </c>
      <c r="D17" s="6">
        <v>0.74122582625601097</v>
      </c>
      <c r="E17" s="6">
        <v>0.623963982400491</v>
      </c>
      <c r="F17" s="6">
        <v>0.590402128312698</v>
      </c>
      <c r="G17" s="3">
        <v>27</v>
      </c>
      <c r="H17" s="6">
        <v>0.96296296296296302</v>
      </c>
      <c r="I17" s="6">
        <v>0.96296296296296302</v>
      </c>
      <c r="J17" s="6">
        <v>0.88888888888888895</v>
      </c>
      <c r="K17" s="6">
        <v>0.88888888888888895</v>
      </c>
      <c r="L17" s="15"/>
      <c r="N17" s="3" t="s">
        <v>174</v>
      </c>
      <c r="O17" s="8">
        <v>72346</v>
      </c>
      <c r="P17" s="6">
        <v>0.95308655627125205</v>
      </c>
      <c r="Q17" s="6">
        <v>0.91177121057142096</v>
      </c>
      <c r="R17" s="6">
        <v>0.86072485002626298</v>
      </c>
      <c r="S17" s="6">
        <v>0.842202747905897</v>
      </c>
      <c r="T17" s="3">
        <v>384</v>
      </c>
      <c r="U17" s="6">
        <v>0.890625</v>
      </c>
      <c r="V17" s="6">
        <v>0.85677083333333304</v>
      </c>
      <c r="W17" s="6">
        <v>0.82291666666666696</v>
      </c>
      <c r="X17" s="6">
        <v>0.796875</v>
      </c>
    </row>
    <row r="18" spans="1:24" x14ac:dyDescent="0.4">
      <c r="A18" s="3" t="s">
        <v>156</v>
      </c>
      <c r="B18" s="8">
        <v>3141</v>
      </c>
      <c r="C18" s="6">
        <v>0.80802292263610298</v>
      </c>
      <c r="D18" s="6">
        <v>0.74116523400191003</v>
      </c>
      <c r="E18" s="6">
        <v>0.672715695638332</v>
      </c>
      <c r="F18" s="6">
        <v>0.65743393823623097</v>
      </c>
      <c r="G18" s="3">
        <v>18</v>
      </c>
      <c r="H18" s="6">
        <v>1</v>
      </c>
      <c r="I18" s="6">
        <v>1</v>
      </c>
      <c r="J18" s="6">
        <v>1</v>
      </c>
      <c r="K18" s="6">
        <v>1</v>
      </c>
      <c r="L18" s="15"/>
      <c r="N18" s="3" t="s">
        <v>173</v>
      </c>
      <c r="O18" s="8">
        <v>34842</v>
      </c>
      <c r="P18" s="6">
        <v>0.99187761896561599</v>
      </c>
      <c r="Q18" s="6">
        <v>0.953934906147753</v>
      </c>
      <c r="R18" s="6">
        <v>0.89994833821250197</v>
      </c>
      <c r="S18" s="6">
        <v>0.883129556282647</v>
      </c>
      <c r="T18" s="3">
        <v>148</v>
      </c>
      <c r="U18" s="6">
        <v>0.97297297297297303</v>
      </c>
      <c r="V18" s="6">
        <v>0.92567567567567599</v>
      </c>
      <c r="W18" s="6">
        <v>0.87162162162162204</v>
      </c>
      <c r="X18" s="6">
        <v>0.84459459459459496</v>
      </c>
    </row>
    <row r="19" spans="1:24" x14ac:dyDescent="0.4">
      <c r="A19" s="3" t="s">
        <v>157</v>
      </c>
      <c r="B19" s="8">
        <v>6099</v>
      </c>
      <c r="C19" s="6">
        <v>0.92211838006230495</v>
      </c>
      <c r="D19" s="6">
        <v>0.87243810460731297</v>
      </c>
      <c r="E19" s="6">
        <v>0.826364977865224</v>
      </c>
      <c r="F19" s="6">
        <v>0.81013280865715698</v>
      </c>
      <c r="G19" s="3">
        <v>34</v>
      </c>
      <c r="H19" s="6">
        <v>1</v>
      </c>
      <c r="I19" s="6">
        <v>0.97058823529411797</v>
      </c>
      <c r="J19" s="6">
        <v>0.97058823529411797</v>
      </c>
      <c r="K19" s="6">
        <v>0.97058823529411797</v>
      </c>
      <c r="L19" s="15"/>
      <c r="N19" s="3" t="s">
        <v>172</v>
      </c>
      <c r="O19" s="8">
        <v>74068</v>
      </c>
      <c r="P19" s="6">
        <v>0.94498298860506602</v>
      </c>
      <c r="Q19" s="6">
        <v>0.91721121131932803</v>
      </c>
      <c r="R19" s="6">
        <v>0.88564562294108096</v>
      </c>
      <c r="S19" s="6">
        <v>0.87438569962736901</v>
      </c>
      <c r="T19" s="3">
        <v>345</v>
      </c>
      <c r="U19" s="6">
        <v>0.96811594202898599</v>
      </c>
      <c r="V19" s="6">
        <v>0.94782608695652204</v>
      </c>
      <c r="W19" s="6">
        <v>0.91304347826086996</v>
      </c>
      <c r="X19" s="6">
        <v>0.901449275362319</v>
      </c>
    </row>
    <row r="20" spans="1:24" x14ac:dyDescent="0.4">
      <c r="A20" s="3" t="s">
        <v>158</v>
      </c>
      <c r="B20" s="8">
        <v>1846</v>
      </c>
      <c r="C20" s="6">
        <v>0.95178764897074797</v>
      </c>
      <c r="D20" s="6">
        <v>0.93607800650054196</v>
      </c>
      <c r="E20" s="6">
        <v>0.92741061755146303</v>
      </c>
      <c r="F20" s="6">
        <v>0.92307692307692302</v>
      </c>
      <c r="G20" s="3">
        <v>35</v>
      </c>
      <c r="H20" s="6">
        <v>0.97142857142857097</v>
      </c>
      <c r="I20" s="6">
        <v>0.88571428571428601</v>
      </c>
      <c r="J20" s="6">
        <v>0.88571428571428601</v>
      </c>
      <c r="K20" s="6">
        <v>0.88571428571428601</v>
      </c>
      <c r="L20" s="15"/>
    </row>
    <row r="21" spans="1:24" x14ac:dyDescent="0.4">
      <c r="A21" s="3" t="s">
        <v>159</v>
      </c>
      <c r="B21" s="8">
        <v>26782</v>
      </c>
      <c r="C21" s="6">
        <v>0.93723396310955098</v>
      </c>
      <c r="D21" s="6">
        <v>0.89358524382047599</v>
      </c>
      <c r="E21" s="6">
        <v>0.84231946829960402</v>
      </c>
      <c r="F21" s="6">
        <v>0.82648793966096601</v>
      </c>
      <c r="G21" s="3">
        <v>84</v>
      </c>
      <c r="H21" s="6">
        <v>0.92857142857142905</v>
      </c>
      <c r="I21" s="6">
        <v>0.91666666666666696</v>
      </c>
      <c r="J21" s="6">
        <v>0.86904761904761896</v>
      </c>
      <c r="K21" s="6">
        <v>0.84523809523809501</v>
      </c>
      <c r="L21" s="15"/>
    </row>
    <row r="22" spans="1:24" x14ac:dyDescent="0.4">
      <c r="A22" s="3" t="s">
        <v>160</v>
      </c>
      <c r="B22" s="8">
        <v>21120</v>
      </c>
      <c r="C22" s="6">
        <v>0.92159090909090902</v>
      </c>
      <c r="D22" s="6">
        <v>0.87807765151515105</v>
      </c>
      <c r="E22" s="6">
        <v>0.830066287878788</v>
      </c>
      <c r="F22" s="6">
        <v>0.81358901515151505</v>
      </c>
      <c r="G22" s="3">
        <v>65</v>
      </c>
      <c r="H22" s="6">
        <v>0.86153846153846203</v>
      </c>
      <c r="I22" s="6">
        <v>0.78461538461538505</v>
      </c>
      <c r="J22" s="6">
        <v>0.69230769230769196</v>
      </c>
      <c r="K22" s="6">
        <v>0.63076923076923097</v>
      </c>
      <c r="L22" s="15"/>
      <c r="N22" s="3"/>
      <c r="O22" s="9" t="s">
        <v>199</v>
      </c>
      <c r="P22" s="9"/>
      <c r="Q22" s="9"/>
      <c r="R22" s="9"/>
      <c r="S22" s="9"/>
      <c r="T22" s="9" t="s">
        <v>201</v>
      </c>
      <c r="U22" s="9"/>
      <c r="V22" s="9"/>
      <c r="W22" s="9"/>
      <c r="X22" s="9"/>
    </row>
    <row r="23" spans="1:24" x14ac:dyDescent="0.4">
      <c r="A23" s="3" t="s">
        <v>161</v>
      </c>
      <c r="B23" s="8">
        <v>50146</v>
      </c>
      <c r="C23" s="6">
        <v>0.94346508196067502</v>
      </c>
      <c r="D23" s="6">
        <v>0.90649304032225897</v>
      </c>
      <c r="E23" s="6">
        <v>0.86319945758385497</v>
      </c>
      <c r="F23" s="6">
        <v>0.84700674031827095</v>
      </c>
      <c r="G23" s="3">
        <v>183</v>
      </c>
      <c r="H23" s="6">
        <v>0.93989071038251404</v>
      </c>
      <c r="I23" s="6">
        <v>0.89617486338797803</v>
      </c>
      <c r="J23" s="6">
        <v>0.85792349726775996</v>
      </c>
      <c r="K23" s="6">
        <v>0.83060109289617501</v>
      </c>
      <c r="L23" s="15"/>
      <c r="N23" s="3" t="s">
        <v>178</v>
      </c>
      <c r="O23" s="8" t="s">
        <v>118</v>
      </c>
      <c r="P23" s="3" t="s">
        <v>195</v>
      </c>
      <c r="Q23" s="3" t="s">
        <v>196</v>
      </c>
      <c r="R23" s="3" t="s">
        <v>197</v>
      </c>
      <c r="S23" s="3" t="s">
        <v>198</v>
      </c>
      <c r="T23" s="3" t="s">
        <v>118</v>
      </c>
      <c r="U23" s="3" t="s">
        <v>195</v>
      </c>
      <c r="V23" s="3" t="s">
        <v>196</v>
      </c>
      <c r="W23" s="3" t="s">
        <v>197</v>
      </c>
      <c r="X23" s="3" t="s">
        <v>198</v>
      </c>
    </row>
    <row r="24" spans="1:24" x14ac:dyDescent="0.4">
      <c r="A24" s="3" t="s">
        <v>162</v>
      </c>
      <c r="B24" s="8">
        <v>6192</v>
      </c>
      <c r="C24" s="6">
        <v>0.85755813953488402</v>
      </c>
      <c r="D24" s="6">
        <v>0.79295865633074902</v>
      </c>
      <c r="E24" s="6">
        <v>0.71721576227390205</v>
      </c>
      <c r="F24" s="6">
        <v>0.69395994832041297</v>
      </c>
      <c r="G24" s="3">
        <v>60</v>
      </c>
      <c r="H24" s="6">
        <v>0.86666666666666703</v>
      </c>
      <c r="I24" s="6">
        <v>0.8</v>
      </c>
      <c r="J24" s="6">
        <v>0.75</v>
      </c>
      <c r="K24" s="6">
        <v>0.75</v>
      </c>
      <c r="L24" s="15"/>
      <c r="N24" s="3" t="s">
        <v>141</v>
      </c>
      <c r="O24" s="8">
        <v>4530</v>
      </c>
      <c r="P24" s="6">
        <v>0.89536423841059598</v>
      </c>
      <c r="Q24" s="6">
        <v>0.85121412803532004</v>
      </c>
      <c r="R24" s="6">
        <v>0.79602649006622495</v>
      </c>
      <c r="S24" s="6">
        <v>0.78079470198675505</v>
      </c>
      <c r="T24" s="8">
        <v>71</v>
      </c>
      <c r="U24" s="6">
        <v>0.98591549295774605</v>
      </c>
      <c r="V24" s="6">
        <v>0.971830985915493</v>
      </c>
      <c r="W24" s="6">
        <v>0.92957746478873204</v>
      </c>
      <c r="X24" s="6">
        <v>0.91549295774647899</v>
      </c>
    </row>
    <row r="25" spans="1:24" x14ac:dyDescent="0.4">
      <c r="B25">
        <v>0</v>
      </c>
      <c r="G25">
        <v>0</v>
      </c>
      <c r="N25" s="3" t="s">
        <v>179</v>
      </c>
      <c r="O25" s="8">
        <v>14616</v>
      </c>
      <c r="P25" s="6">
        <v>0.98070607553366196</v>
      </c>
      <c r="Q25" s="6">
        <v>0.96565407772304301</v>
      </c>
      <c r="R25" s="6">
        <v>0.94601806239737296</v>
      </c>
      <c r="S25" s="6">
        <v>0.93992884510125896</v>
      </c>
      <c r="T25" s="8">
        <v>176</v>
      </c>
      <c r="U25" s="6">
        <v>1.0056818181818199</v>
      </c>
      <c r="V25" s="6">
        <v>1</v>
      </c>
      <c r="W25" s="6">
        <v>0.97159090909090895</v>
      </c>
      <c r="X25" s="6">
        <v>0.96590909090909105</v>
      </c>
    </row>
    <row r="26" spans="1:24" x14ac:dyDescent="0.4">
      <c r="N26" s="3" t="s">
        <v>180</v>
      </c>
      <c r="O26" s="8">
        <v>81739</v>
      </c>
      <c r="P26" s="6">
        <v>0.95095364513879499</v>
      </c>
      <c r="Q26" s="6">
        <v>0.918190826900256</v>
      </c>
      <c r="R26" s="6">
        <v>0.87806310329218595</v>
      </c>
      <c r="S26" s="6">
        <v>0.86361467598086605</v>
      </c>
      <c r="T26" s="8">
        <v>461</v>
      </c>
      <c r="U26" s="6">
        <v>0.92841648590021697</v>
      </c>
      <c r="V26" s="6">
        <v>0.90021691973969598</v>
      </c>
      <c r="W26" s="6">
        <v>0.86334056399132297</v>
      </c>
      <c r="X26" s="6">
        <v>0.84598698481561796</v>
      </c>
    </row>
    <row r="27" spans="1:24" x14ac:dyDescent="0.4">
      <c r="N27" s="3" t="s">
        <v>183</v>
      </c>
      <c r="O27" s="8">
        <v>59943</v>
      </c>
      <c r="P27" s="6">
        <v>0.96908729960128803</v>
      </c>
      <c r="Q27" s="6">
        <v>0.92481190464274399</v>
      </c>
      <c r="R27" s="6">
        <v>0.88048646213903203</v>
      </c>
      <c r="S27" s="6">
        <v>0.86697362494369701</v>
      </c>
      <c r="T27" s="8">
        <v>218</v>
      </c>
      <c r="U27" s="6">
        <v>0.93119266055045902</v>
      </c>
      <c r="V27" s="6">
        <v>0.894495412844037</v>
      </c>
      <c r="W27" s="6">
        <v>0.86238532110091703</v>
      </c>
      <c r="X27" s="6">
        <v>0.85779816513761498</v>
      </c>
    </row>
    <row r="28" spans="1:24" x14ac:dyDescent="0.4">
      <c r="N28" s="3" t="s">
        <v>184</v>
      </c>
      <c r="O28" s="8">
        <v>40438</v>
      </c>
      <c r="P28" s="6">
        <v>0.92450170631584105</v>
      </c>
      <c r="Q28" s="6">
        <v>0.88683911172659402</v>
      </c>
      <c r="R28" s="6">
        <v>0.81003016964241603</v>
      </c>
      <c r="S28" s="6">
        <v>0.78918344131757301</v>
      </c>
      <c r="T28" s="8">
        <v>192</v>
      </c>
      <c r="U28" s="6">
        <v>0.89583333333333304</v>
      </c>
      <c r="V28" s="6">
        <v>0.85416666666666696</v>
      </c>
      <c r="W28" s="6">
        <v>0.77604166666666696</v>
      </c>
      <c r="X28" s="6">
        <v>0.72916666666666696</v>
      </c>
    </row>
    <row r="29" spans="1:24" x14ac:dyDescent="0.4">
      <c r="N29" s="3" t="s">
        <v>185</v>
      </c>
      <c r="O29" s="8">
        <v>44308</v>
      </c>
      <c r="P29" s="6">
        <v>0.89247991333393495</v>
      </c>
      <c r="Q29" s="6">
        <v>0.83386747314254805</v>
      </c>
      <c r="R29" s="6">
        <v>0.77419427642863603</v>
      </c>
      <c r="S29" s="6">
        <v>0.74792362553037794</v>
      </c>
      <c r="T29" s="8">
        <v>208</v>
      </c>
      <c r="U29" s="6">
        <v>0.84615384615384603</v>
      </c>
      <c r="V29" s="6">
        <v>0.79326923076923095</v>
      </c>
      <c r="W29" s="6">
        <v>0.73076923076923095</v>
      </c>
      <c r="X29" s="6">
        <v>0.71153846153846201</v>
      </c>
    </row>
    <row r="30" spans="1:24" x14ac:dyDescent="0.4">
      <c r="N30" s="3" t="s">
        <v>186</v>
      </c>
      <c r="O30" s="8">
        <v>20721</v>
      </c>
      <c r="P30" s="6">
        <v>0.86574007045991996</v>
      </c>
      <c r="Q30" s="6">
        <v>0.80256744365619404</v>
      </c>
      <c r="R30" s="6">
        <v>0.72771584382993104</v>
      </c>
      <c r="S30" s="6">
        <v>0.70826697553206897</v>
      </c>
      <c r="T30" s="8">
        <v>96</v>
      </c>
      <c r="U30" s="6">
        <v>0.90625</v>
      </c>
      <c r="V30" s="6">
        <v>0.8125</v>
      </c>
      <c r="W30" s="6">
        <v>0.73958333333333304</v>
      </c>
      <c r="X30" s="6">
        <v>0.71875</v>
      </c>
    </row>
    <row r="31" spans="1:24" x14ac:dyDescent="0.4">
      <c r="N31" s="3" t="s">
        <v>181</v>
      </c>
      <c r="O31" s="8">
        <v>8292</v>
      </c>
      <c r="P31" s="6">
        <v>0.87554269175108501</v>
      </c>
      <c r="Q31" s="6">
        <v>0.81620839363241704</v>
      </c>
      <c r="R31" s="6">
        <v>0.75627110467920899</v>
      </c>
      <c r="S31" s="6">
        <v>0.73625180897250397</v>
      </c>
      <c r="T31" s="8">
        <v>25</v>
      </c>
      <c r="U31" s="6">
        <v>0.92</v>
      </c>
      <c r="V31" s="6">
        <v>0.84</v>
      </c>
      <c r="W31" s="6">
        <v>0.76</v>
      </c>
      <c r="X31" s="6">
        <v>0.72</v>
      </c>
    </row>
    <row r="32" spans="1:24" x14ac:dyDescent="0.4">
      <c r="N32" s="3" t="s">
        <v>182</v>
      </c>
      <c r="O32" s="8">
        <v>690</v>
      </c>
      <c r="P32" s="6">
        <v>0.89420289855072499</v>
      </c>
      <c r="Q32" s="6">
        <v>0.85072463768115902</v>
      </c>
      <c r="R32" s="6">
        <v>0.76376811594202898</v>
      </c>
      <c r="S32" s="6">
        <v>0.75362318840579701</v>
      </c>
      <c r="T32" s="8">
        <v>3</v>
      </c>
      <c r="U32" s="6">
        <v>1</v>
      </c>
      <c r="V32" s="6">
        <v>1</v>
      </c>
      <c r="W32" s="6">
        <v>1</v>
      </c>
      <c r="X32" s="6">
        <v>1</v>
      </c>
    </row>
    <row r="35" spans="14:24" x14ac:dyDescent="0.4">
      <c r="N35" s="3"/>
      <c r="O35" s="9" t="s">
        <v>199</v>
      </c>
      <c r="P35" s="9"/>
      <c r="Q35" s="9"/>
      <c r="R35" s="9"/>
      <c r="S35" s="9"/>
      <c r="T35" s="9" t="s">
        <v>201</v>
      </c>
      <c r="U35" s="9"/>
      <c r="V35" s="9"/>
      <c r="W35" s="9"/>
      <c r="X35" s="9"/>
    </row>
    <row r="36" spans="14:24" x14ac:dyDescent="0.4">
      <c r="N36" s="3" t="s">
        <v>187</v>
      </c>
      <c r="O36" s="8" t="s">
        <v>118</v>
      </c>
      <c r="P36" s="3" t="s">
        <v>195</v>
      </c>
      <c r="Q36" s="3" t="s">
        <v>196</v>
      </c>
      <c r="R36" s="3" t="s">
        <v>197</v>
      </c>
      <c r="S36" s="3" t="s">
        <v>198</v>
      </c>
      <c r="T36" s="3" t="s">
        <v>118</v>
      </c>
      <c r="U36" s="3" t="s">
        <v>195</v>
      </c>
      <c r="V36" s="3" t="s">
        <v>196</v>
      </c>
      <c r="W36" s="3" t="s">
        <v>197</v>
      </c>
      <c r="X36" s="3" t="s">
        <v>198</v>
      </c>
    </row>
    <row r="37" spans="14:24" x14ac:dyDescent="0.4">
      <c r="N37" s="3" t="s">
        <v>141</v>
      </c>
      <c r="O37" s="8">
        <v>2053</v>
      </c>
      <c r="P37" s="6">
        <v>0.96054554310764695</v>
      </c>
      <c r="Q37" s="6">
        <v>0.928884559181685</v>
      </c>
      <c r="R37" s="6">
        <v>0.88455918168533898</v>
      </c>
      <c r="S37" s="6">
        <v>0.87238188017535301</v>
      </c>
      <c r="T37" s="8">
        <v>34</v>
      </c>
      <c r="U37" s="6">
        <v>0.97058823529411797</v>
      </c>
      <c r="V37" s="6">
        <v>0.94117647058823495</v>
      </c>
      <c r="W37" s="6">
        <v>0.91176470588235303</v>
      </c>
      <c r="X37" s="6">
        <v>0.91176470588235303</v>
      </c>
    </row>
    <row r="38" spans="14:24" x14ac:dyDescent="0.4">
      <c r="N38" s="3" t="s">
        <v>188</v>
      </c>
      <c r="O38" s="8">
        <v>13706</v>
      </c>
      <c r="P38" s="6">
        <v>0.90033561943674301</v>
      </c>
      <c r="Q38" s="6">
        <v>0.87239165329053003</v>
      </c>
      <c r="R38" s="6">
        <v>0.84335327593754605</v>
      </c>
      <c r="S38" s="6">
        <v>0.83510871151320598</v>
      </c>
      <c r="T38" s="8">
        <v>135</v>
      </c>
      <c r="U38" s="6">
        <v>0.93333333333333302</v>
      </c>
      <c r="V38" s="6">
        <v>0.91111111111111098</v>
      </c>
      <c r="W38" s="6">
        <v>0.89629629629629604</v>
      </c>
      <c r="X38" s="6">
        <v>0.88148148148148198</v>
      </c>
    </row>
    <row r="39" spans="14:24" x14ac:dyDescent="0.4">
      <c r="N39" s="3" t="s">
        <v>189</v>
      </c>
      <c r="O39" s="8">
        <v>27784</v>
      </c>
      <c r="P39" s="6">
        <v>0.94928735963144295</v>
      </c>
      <c r="Q39" s="6">
        <v>0.94032536711776604</v>
      </c>
      <c r="R39" s="6">
        <v>0.92488482579902098</v>
      </c>
      <c r="S39" s="6">
        <v>0.92146559170745801</v>
      </c>
      <c r="T39" s="8">
        <v>312</v>
      </c>
      <c r="U39" s="6">
        <v>0.85256410256410298</v>
      </c>
      <c r="V39" s="6">
        <v>0.83653846153846201</v>
      </c>
      <c r="W39" s="6">
        <v>0.82371794871794901</v>
      </c>
      <c r="X39" s="6">
        <v>0.81410256410256399</v>
      </c>
    </row>
    <row r="40" spans="14:24" x14ac:dyDescent="0.4">
      <c r="N40" s="3" t="s">
        <v>55</v>
      </c>
      <c r="O40" s="8">
        <v>9485</v>
      </c>
      <c r="P40" s="6">
        <v>0.86336320506062203</v>
      </c>
      <c r="Q40" s="6">
        <v>0.83700579862941504</v>
      </c>
      <c r="R40" s="6">
        <v>0.80611491829203996</v>
      </c>
      <c r="S40" s="6">
        <v>0.79778597785977901</v>
      </c>
      <c r="T40" s="8">
        <v>44</v>
      </c>
      <c r="U40" s="6">
        <v>0.93181818181818199</v>
      </c>
      <c r="V40" s="6">
        <v>0.88636363636363602</v>
      </c>
      <c r="W40" s="6">
        <v>0.79545454545454497</v>
      </c>
      <c r="X40" s="6">
        <v>0.79545454545454497</v>
      </c>
    </row>
    <row r="41" spans="14:24" x14ac:dyDescent="0.4">
      <c r="N41" s="3" t="s">
        <v>190</v>
      </c>
      <c r="O41" s="8">
        <v>23793</v>
      </c>
      <c r="P41" s="6">
        <v>0.94893456058504599</v>
      </c>
      <c r="Q41" s="6">
        <v>0.92006052200226995</v>
      </c>
      <c r="R41" s="6">
        <v>0.88996763754045305</v>
      </c>
      <c r="S41" s="6">
        <v>0.87723279956289701</v>
      </c>
      <c r="T41" s="8">
        <v>115</v>
      </c>
      <c r="U41" s="6">
        <v>0.97391304347826102</v>
      </c>
      <c r="V41" s="6">
        <v>0.93043478260869605</v>
      </c>
      <c r="W41" s="6">
        <v>0.91304347826086996</v>
      </c>
      <c r="X41" s="6">
        <v>0.88695652173912998</v>
      </c>
    </row>
    <row r="42" spans="14:24" x14ac:dyDescent="0.4">
      <c r="N42" s="3" t="s">
        <v>191</v>
      </c>
      <c r="O42" s="8">
        <v>41861</v>
      </c>
      <c r="P42" s="6">
        <v>1.0213563937794099</v>
      </c>
      <c r="Q42" s="6">
        <v>0.97928859797902601</v>
      </c>
      <c r="R42" s="6">
        <v>0.91889825852225204</v>
      </c>
      <c r="S42" s="6">
        <v>0.90083848928596999</v>
      </c>
      <c r="T42" s="8">
        <v>260</v>
      </c>
      <c r="U42" s="6">
        <v>0.95769230769230795</v>
      </c>
      <c r="V42" s="6">
        <v>0.91153846153846196</v>
      </c>
      <c r="W42" s="6">
        <v>0.83846153846153804</v>
      </c>
      <c r="X42" s="6">
        <v>0.83076923076923104</v>
      </c>
    </row>
    <row r="43" spans="14:24" x14ac:dyDescent="0.4">
      <c r="N43" s="3" t="s">
        <v>192</v>
      </c>
      <c r="O43" s="8">
        <v>20633</v>
      </c>
      <c r="P43" s="6">
        <v>0.92715552755294905</v>
      </c>
      <c r="Q43" s="6">
        <v>0.88484466631124903</v>
      </c>
      <c r="R43" s="6">
        <v>0.83754180196772199</v>
      </c>
      <c r="S43" s="6">
        <v>0.82048175253235101</v>
      </c>
      <c r="T43" s="8">
        <v>64</v>
      </c>
      <c r="U43" s="6">
        <v>0.953125</v>
      </c>
      <c r="V43" s="6">
        <v>0.921875</v>
      </c>
      <c r="W43" s="6">
        <v>0.828125</v>
      </c>
      <c r="X43" s="6">
        <v>0.796875</v>
      </c>
    </row>
    <row r="44" spans="14:24" x14ac:dyDescent="0.4">
      <c r="N44" s="3" t="s">
        <v>193</v>
      </c>
      <c r="O44" s="8">
        <v>135962</v>
      </c>
      <c r="P44" s="6">
        <v>0.90919521631043998</v>
      </c>
      <c r="Q44" s="6">
        <v>0.85451081919948202</v>
      </c>
      <c r="R44" s="6">
        <v>0.78904399758756105</v>
      </c>
      <c r="S44" s="6">
        <v>0.76691281387446497</v>
      </c>
      <c r="T44" s="8">
        <v>486</v>
      </c>
      <c r="U44" s="6">
        <v>0.92798353909465003</v>
      </c>
      <c r="V44" s="6">
        <v>0.88065843621399198</v>
      </c>
      <c r="W44" s="6">
        <v>0.81687242798353898</v>
      </c>
      <c r="X44" s="6">
        <v>0.78600823045267498</v>
      </c>
    </row>
    <row r="45" spans="14:24" x14ac:dyDescent="0.4">
      <c r="O45" s="13">
        <v>0</v>
      </c>
    </row>
    <row r="47" spans="14:24" x14ac:dyDescent="0.4">
      <c r="N47" s="3"/>
      <c r="O47" s="9" t="s">
        <v>199</v>
      </c>
      <c r="P47" s="9"/>
      <c r="Q47" s="9"/>
      <c r="R47" s="9"/>
      <c r="S47" s="9"/>
      <c r="T47" s="9" t="s">
        <v>201</v>
      </c>
      <c r="U47" s="9"/>
      <c r="V47" s="9"/>
      <c r="W47" s="9"/>
      <c r="X47" s="9"/>
    </row>
    <row r="48" spans="14:24" x14ac:dyDescent="0.4">
      <c r="N48" s="3" t="s">
        <v>194</v>
      </c>
      <c r="O48" s="8" t="s">
        <v>118</v>
      </c>
      <c r="P48" s="3" t="s">
        <v>195</v>
      </c>
      <c r="Q48" s="3" t="s">
        <v>196</v>
      </c>
      <c r="R48" s="3" t="s">
        <v>197</v>
      </c>
      <c r="S48" s="3" t="s">
        <v>198</v>
      </c>
      <c r="T48" s="3" t="s">
        <v>118</v>
      </c>
      <c r="U48" s="3" t="s">
        <v>195</v>
      </c>
      <c r="V48" s="3" t="s">
        <v>196</v>
      </c>
      <c r="W48" s="3" t="s">
        <v>197</v>
      </c>
      <c r="X48" s="3" t="s">
        <v>198</v>
      </c>
    </row>
    <row r="49" spans="14:24" x14ac:dyDescent="0.4">
      <c r="N49" s="3" t="s">
        <v>14</v>
      </c>
      <c r="O49" s="8">
        <v>93647</v>
      </c>
      <c r="P49" s="6">
        <v>0.91949555244695502</v>
      </c>
      <c r="Q49" s="6">
        <v>0.87216888955332295</v>
      </c>
      <c r="R49" s="6">
        <v>0.81464435593238405</v>
      </c>
      <c r="S49" s="6">
        <v>0.79503881597915604</v>
      </c>
      <c r="T49" s="8">
        <v>358</v>
      </c>
      <c r="U49" s="6">
        <v>0.91340782122904995</v>
      </c>
      <c r="V49" s="6">
        <v>0.87709497206703901</v>
      </c>
      <c r="W49" s="6">
        <v>0.82960893854748596</v>
      </c>
      <c r="X49" s="6">
        <v>0.79888268156424602</v>
      </c>
    </row>
    <row r="50" spans="14:24" x14ac:dyDescent="0.4">
      <c r="N50" s="3" t="s">
        <v>13</v>
      </c>
      <c r="O50" s="8">
        <v>14288</v>
      </c>
      <c r="P50" s="6">
        <v>0.94988801791713295</v>
      </c>
      <c r="Q50" s="6">
        <v>0.89627659574468099</v>
      </c>
      <c r="R50" s="6">
        <v>0.83412653975363904</v>
      </c>
      <c r="S50" s="6">
        <v>0.81473964165733503</v>
      </c>
      <c r="T50" s="8">
        <v>91</v>
      </c>
      <c r="U50" s="6">
        <v>0.94505494505494503</v>
      </c>
      <c r="V50" s="6">
        <v>0.879120879120879</v>
      </c>
      <c r="W50" s="6">
        <v>0.78021978021978</v>
      </c>
      <c r="X50" s="6">
        <v>0.78021978021978</v>
      </c>
    </row>
    <row r="51" spans="14:24" x14ac:dyDescent="0.4">
      <c r="N51" s="3" t="s">
        <v>11</v>
      </c>
      <c r="O51" s="8">
        <v>10103</v>
      </c>
      <c r="P51" s="6">
        <v>0.92131050183113905</v>
      </c>
      <c r="Q51" s="6">
        <v>0.87667029595169799</v>
      </c>
      <c r="R51" s="6">
        <v>0.82183509848559799</v>
      </c>
      <c r="S51" s="6">
        <v>0.80134613481144201</v>
      </c>
      <c r="T51" s="8">
        <v>60</v>
      </c>
      <c r="U51" s="6">
        <v>0.91666666666666696</v>
      </c>
      <c r="V51" s="6">
        <v>0.88333333333333297</v>
      </c>
      <c r="W51" s="6">
        <v>0.86666666666666703</v>
      </c>
      <c r="X51" s="6">
        <v>0.86666666666666703</v>
      </c>
    </row>
    <row r="52" spans="14:24" x14ac:dyDescent="0.4">
      <c r="N52" s="3" t="s">
        <v>17</v>
      </c>
      <c r="O52" s="8">
        <v>9644</v>
      </c>
      <c r="P52" s="6">
        <v>0.93063044379925297</v>
      </c>
      <c r="Q52" s="6">
        <v>0.89070924927415995</v>
      </c>
      <c r="R52" s="6">
        <v>0.83938199917046896</v>
      </c>
      <c r="S52" s="6">
        <v>0.82206553297386997</v>
      </c>
      <c r="T52" s="8">
        <v>36</v>
      </c>
      <c r="U52" s="6">
        <v>0.94444444444444398</v>
      </c>
      <c r="V52" s="6">
        <v>0.91666666666666696</v>
      </c>
      <c r="W52" s="6">
        <v>0.83333333333333304</v>
      </c>
      <c r="X52" s="6">
        <v>0.80555555555555602</v>
      </c>
    </row>
    <row r="53" spans="14:24" x14ac:dyDescent="0.4">
      <c r="N53" s="3" t="s">
        <v>10</v>
      </c>
      <c r="O53" s="8">
        <v>6399</v>
      </c>
      <c r="P53" s="6">
        <v>0.913736521331458</v>
      </c>
      <c r="Q53" s="6">
        <v>0.86654164713236403</v>
      </c>
      <c r="R53" s="6">
        <v>0.80981403344272496</v>
      </c>
      <c r="S53" s="6">
        <v>0.79059228004375703</v>
      </c>
      <c r="T53" s="8">
        <v>44</v>
      </c>
      <c r="U53" s="6">
        <v>0.79545454545454497</v>
      </c>
      <c r="V53" s="6">
        <v>0.75</v>
      </c>
      <c r="W53" s="6">
        <v>0.63636363636363602</v>
      </c>
      <c r="X53" s="6">
        <v>0.63636363636363602</v>
      </c>
    </row>
    <row r="54" spans="14:24" x14ac:dyDescent="0.4">
      <c r="N54" s="3" t="s">
        <v>12</v>
      </c>
      <c r="O54" s="8">
        <v>10320</v>
      </c>
      <c r="P54" s="6">
        <v>0.933527131782946</v>
      </c>
      <c r="Q54" s="6">
        <v>0.89069767441860503</v>
      </c>
      <c r="R54" s="6">
        <v>0.83924418604651196</v>
      </c>
      <c r="S54" s="6">
        <v>0.82713178294573597</v>
      </c>
      <c r="T54" s="8">
        <v>66</v>
      </c>
      <c r="U54" s="6">
        <v>0.90909090909090895</v>
      </c>
      <c r="V54" s="6">
        <v>0.89393939393939403</v>
      </c>
      <c r="W54" s="6">
        <v>0.89393939393939403</v>
      </c>
      <c r="X54" s="6">
        <v>0.87878787878787901</v>
      </c>
    </row>
    <row r="55" spans="14:24" x14ac:dyDescent="0.4">
      <c r="N55" s="3" t="s">
        <v>16</v>
      </c>
      <c r="O55" s="8">
        <v>4188</v>
      </c>
      <c r="P55" s="6">
        <v>0.93600764087870103</v>
      </c>
      <c r="Q55" s="6">
        <v>0.89541547277936995</v>
      </c>
      <c r="R55" s="6">
        <v>0.85052531041069701</v>
      </c>
      <c r="S55" s="6">
        <v>0.83548233046800402</v>
      </c>
      <c r="T55" s="8">
        <v>32</v>
      </c>
      <c r="U55" s="6">
        <v>0.84375</v>
      </c>
      <c r="V55" s="6">
        <v>0.84375</v>
      </c>
      <c r="W55" s="6">
        <v>0.84375</v>
      </c>
      <c r="X55" s="6">
        <v>0.8125</v>
      </c>
    </row>
    <row r="56" spans="14:24" x14ac:dyDescent="0.4">
      <c r="N56" s="3" t="s">
        <v>15</v>
      </c>
      <c r="O56" s="8">
        <v>2055</v>
      </c>
      <c r="P56" s="6">
        <v>0.92944038929440398</v>
      </c>
      <c r="Q56" s="6">
        <v>0.89975669099756705</v>
      </c>
      <c r="R56" s="6">
        <v>0.86715328467153296</v>
      </c>
      <c r="S56" s="6">
        <v>0.85401459854014605</v>
      </c>
      <c r="T56" s="8">
        <v>9</v>
      </c>
      <c r="U56" s="6">
        <v>1</v>
      </c>
      <c r="V56" s="6">
        <v>1</v>
      </c>
      <c r="W56" s="6">
        <v>1</v>
      </c>
      <c r="X56" s="6">
        <v>1</v>
      </c>
    </row>
    <row r="57" spans="14:24" x14ac:dyDescent="0.4">
      <c r="N57" s="3" t="s">
        <v>7</v>
      </c>
      <c r="O57" s="8">
        <v>54383</v>
      </c>
      <c r="P57" s="6">
        <v>0.944118566463785</v>
      </c>
      <c r="Q57" s="6">
        <v>0.90463931743375703</v>
      </c>
      <c r="R57" s="6">
        <v>0.85616828788408095</v>
      </c>
      <c r="S57" s="6">
        <v>0.83982126767555998</v>
      </c>
      <c r="T57" s="8">
        <v>271</v>
      </c>
      <c r="U57" s="6">
        <v>0.94095940959409596</v>
      </c>
      <c r="V57" s="6">
        <v>0.90405904059040598</v>
      </c>
      <c r="W57" s="6">
        <v>0.85239852398523996</v>
      </c>
      <c r="X57" s="6">
        <v>0.82656826568265696</v>
      </c>
    </row>
    <row r="58" spans="14:24" x14ac:dyDescent="0.4">
      <c r="N58" s="3" t="s">
        <v>6</v>
      </c>
      <c r="O58" s="8">
        <v>5694</v>
      </c>
      <c r="P58" s="6">
        <v>0.91464699683877804</v>
      </c>
      <c r="Q58" s="6">
        <v>0.86933614330874598</v>
      </c>
      <c r="R58" s="6">
        <v>0.82349841938882995</v>
      </c>
      <c r="S58" s="6">
        <v>0.81102915349490701</v>
      </c>
      <c r="T58" s="8">
        <v>41</v>
      </c>
      <c r="U58" s="6">
        <v>0.90243902439024404</v>
      </c>
      <c r="V58" s="6">
        <v>0.82926829268292701</v>
      </c>
      <c r="W58" s="6">
        <v>0.78048780487804903</v>
      </c>
      <c r="X58" s="6">
        <v>0.75609756097560998</v>
      </c>
    </row>
    <row r="59" spans="14:24" x14ac:dyDescent="0.4">
      <c r="N59" s="3" t="s">
        <v>22</v>
      </c>
      <c r="O59" s="8">
        <v>6929</v>
      </c>
      <c r="P59" s="6">
        <v>0.96045605426468506</v>
      </c>
      <c r="Q59" s="6">
        <v>0.91990186174051103</v>
      </c>
      <c r="R59" s="6">
        <v>0.87285322557367595</v>
      </c>
      <c r="S59" s="6">
        <v>0.85582335113291996</v>
      </c>
      <c r="T59" s="8">
        <v>38</v>
      </c>
      <c r="U59" s="6">
        <v>0.92105263157894701</v>
      </c>
      <c r="V59" s="6">
        <v>0.84210526315789502</v>
      </c>
      <c r="W59" s="6">
        <v>0.78947368421052599</v>
      </c>
      <c r="X59" s="6">
        <v>0.76315789473684204</v>
      </c>
    </row>
    <row r="60" spans="14:24" x14ac:dyDescent="0.4">
      <c r="N60" s="3" t="s">
        <v>21</v>
      </c>
      <c r="O60" s="8">
        <v>14048</v>
      </c>
      <c r="P60" s="6">
        <v>0.97593963553530705</v>
      </c>
      <c r="Q60" s="6">
        <v>0.95152334851936204</v>
      </c>
      <c r="R60" s="6">
        <v>0.91699886104783601</v>
      </c>
      <c r="S60" s="6">
        <v>0.90653473804100204</v>
      </c>
      <c r="T60" s="8">
        <v>45</v>
      </c>
      <c r="U60" s="6">
        <v>0.93333333333333302</v>
      </c>
      <c r="V60" s="6">
        <v>0.93333333333333302</v>
      </c>
      <c r="W60" s="6">
        <v>0.844444444444444</v>
      </c>
      <c r="X60" s="6">
        <v>0.844444444444444</v>
      </c>
    </row>
    <row r="61" spans="14:24" x14ac:dyDescent="0.4">
      <c r="N61" s="3" t="s">
        <v>19</v>
      </c>
      <c r="O61" s="8">
        <v>6796</v>
      </c>
      <c r="P61" s="6">
        <v>0.95835785756327296</v>
      </c>
      <c r="Q61" s="6">
        <v>0.92010005885815205</v>
      </c>
      <c r="R61" s="6">
        <v>0.86580341377280801</v>
      </c>
      <c r="S61" s="6">
        <v>0.84888169511477296</v>
      </c>
      <c r="T61" s="8">
        <v>56</v>
      </c>
      <c r="U61" s="6">
        <v>0.96428571428571397</v>
      </c>
      <c r="V61" s="6">
        <v>0.92857142857142905</v>
      </c>
      <c r="W61" s="6">
        <v>0.89285714285714302</v>
      </c>
      <c r="X61" s="6">
        <v>0.89285714285714302</v>
      </c>
    </row>
    <row r="62" spans="14:24" x14ac:dyDescent="0.4">
      <c r="N62" s="3" t="s">
        <v>18</v>
      </c>
      <c r="O62" s="8">
        <v>7641</v>
      </c>
      <c r="P62" s="6">
        <v>0.92409370501243304</v>
      </c>
      <c r="Q62" s="6">
        <v>0.88731841382018095</v>
      </c>
      <c r="R62" s="6">
        <v>0.84727129956811897</v>
      </c>
      <c r="S62" s="6">
        <v>0.83444575317366798</v>
      </c>
      <c r="T62" s="8">
        <v>68</v>
      </c>
      <c r="U62" s="6">
        <v>0.92647058823529405</v>
      </c>
      <c r="V62" s="6">
        <v>0.86764705882352899</v>
      </c>
      <c r="W62" s="6">
        <v>0.83823529411764697</v>
      </c>
      <c r="X62" s="6">
        <v>0.82352941176470595</v>
      </c>
    </row>
    <row r="63" spans="14:24" x14ac:dyDescent="0.4">
      <c r="N63" s="3" t="s">
        <v>9</v>
      </c>
      <c r="O63" s="8">
        <v>9969</v>
      </c>
      <c r="P63" s="6">
        <v>0.95405757849332895</v>
      </c>
      <c r="Q63" s="6">
        <v>0.92005216170127402</v>
      </c>
      <c r="R63" s="6">
        <v>0.87100010031096398</v>
      </c>
      <c r="S63" s="6">
        <v>0.85495034607282605</v>
      </c>
      <c r="T63" s="8">
        <v>65</v>
      </c>
      <c r="U63" s="6">
        <v>0.95384615384615401</v>
      </c>
      <c r="V63" s="6">
        <v>0.93846153846153801</v>
      </c>
      <c r="W63" s="6">
        <v>0.89230769230769202</v>
      </c>
      <c r="X63" s="6">
        <v>0.89230769230769202</v>
      </c>
    </row>
    <row r="64" spans="14:24" x14ac:dyDescent="0.4">
      <c r="N64" s="3" t="s">
        <v>8</v>
      </c>
      <c r="O64" s="8">
        <v>11988</v>
      </c>
      <c r="P64" s="6">
        <v>0.93084751418084799</v>
      </c>
      <c r="Q64" s="6">
        <v>0.89239239239239199</v>
      </c>
      <c r="R64" s="6">
        <v>0.84309309309309299</v>
      </c>
      <c r="S64" s="6">
        <v>0.82832832832832803</v>
      </c>
      <c r="T64" s="8">
        <v>82</v>
      </c>
      <c r="U64" s="6">
        <v>0.89024390243902396</v>
      </c>
      <c r="V64" s="6">
        <v>0.85365853658536595</v>
      </c>
      <c r="W64" s="6">
        <v>0.84146341463414598</v>
      </c>
      <c r="X64" s="6">
        <v>0.81707317073170704</v>
      </c>
    </row>
    <row r="65" spans="14:24" x14ac:dyDescent="0.4">
      <c r="N65" s="3" t="s">
        <v>20</v>
      </c>
      <c r="O65" s="8">
        <v>2655</v>
      </c>
      <c r="P65" s="6">
        <v>0.92806026365348404</v>
      </c>
      <c r="Q65" s="6">
        <v>0.88135593220339004</v>
      </c>
      <c r="R65" s="6">
        <v>0.82636534839924702</v>
      </c>
      <c r="S65" s="6">
        <v>0.80263653483992503</v>
      </c>
      <c r="T65" s="8">
        <v>17</v>
      </c>
      <c r="U65" s="6">
        <v>0.88235294117647101</v>
      </c>
      <c r="V65" s="6">
        <v>0.82352941176470595</v>
      </c>
      <c r="W65" s="6">
        <v>0.76470588235294101</v>
      </c>
      <c r="X65" s="6">
        <v>0.76470588235294101</v>
      </c>
    </row>
    <row r="66" spans="14:24" x14ac:dyDescent="0.4">
      <c r="N66" s="3" t="s">
        <v>141</v>
      </c>
      <c r="O66" s="8">
        <v>4530</v>
      </c>
      <c r="P66" s="6">
        <v>0.89536423841059598</v>
      </c>
      <c r="Q66" s="6">
        <v>0.85121412803532004</v>
      </c>
      <c r="R66" s="6">
        <v>0.79602649006622495</v>
      </c>
      <c r="S66" s="6">
        <v>0.78079470198675505</v>
      </c>
      <c r="T66" s="8">
        <v>71</v>
      </c>
      <c r="U66" s="6">
        <v>0.98591549295774605</v>
      </c>
      <c r="V66" s="6">
        <v>0.971830985915493</v>
      </c>
      <c r="W66" s="6">
        <v>0.92957746478873204</v>
      </c>
      <c r="X66" s="6">
        <v>0.91549295774647899</v>
      </c>
    </row>
    <row r="86" spans="13:15" x14ac:dyDescent="0.4">
      <c r="M86" t="s">
        <v>131</v>
      </c>
      <c r="O86" s="13">
        <v>0</v>
      </c>
    </row>
  </sheetData>
  <mergeCells count="12">
    <mergeCell ref="O35:S35"/>
    <mergeCell ref="T35:X35"/>
    <mergeCell ref="O47:S47"/>
    <mergeCell ref="T47:X47"/>
    <mergeCell ref="O12:S12"/>
    <mergeCell ref="T12:X12"/>
    <mergeCell ref="O22:S22"/>
    <mergeCell ref="T22:X22"/>
    <mergeCell ref="B1:F1"/>
    <mergeCell ref="G1:K1"/>
    <mergeCell ref="O1:S1"/>
    <mergeCell ref="T1:X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졸업생분석</vt:lpstr>
      <vt:lpstr>취업률분석</vt:lpstr>
      <vt:lpstr>건보가입자분석</vt:lpstr>
      <vt:lpstr>유지취업자분석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</dc:creator>
  <cp:lastModifiedBy>standard</cp:lastModifiedBy>
  <dcterms:created xsi:type="dcterms:W3CDTF">2022-07-16T13:29:10Z</dcterms:created>
  <dcterms:modified xsi:type="dcterms:W3CDTF">2022-07-26T13:54:08Z</dcterms:modified>
</cp:coreProperties>
</file>